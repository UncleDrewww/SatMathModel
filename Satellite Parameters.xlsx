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filterPrivacy="1"/>
  <xr:revisionPtr revIDLastSave="0" documentId="13_ncr:1_{6EE7D75F-14ED-4F4C-885A-4FD272E79E99}" xr6:coauthVersionLast="47" xr6:coauthVersionMax="47" xr10:uidLastSave="{00000000-0000-0000-0000-000000000000}"/>
  <bookViews>
    <workbookView xWindow="28680" yWindow="-90" windowWidth="29040" windowHeight="15840" tabRatio="741" xr2:uid="{00000000-000D-0000-FFFF-FFFF00000000}"/>
  </bookViews>
  <sheets>
    <sheet name="星体-展开&amp;收拢" sheetId="1" r:id="rId1"/>
    <sheet name="附件a1p1-展开&amp;收拢" sheetId="4" r:id="rId2"/>
    <sheet name="附件a2p2-展开&amp;收拢" sheetId="10" r:id="rId3"/>
    <sheet name="附件a3p3" sheetId="11" r:id="rId4"/>
    <sheet name="附件a4p4" sheetId="13" r:id="rId5"/>
    <sheet name="整星质量参数" sheetId="17" r:id="rId6"/>
    <sheet name="单机参数--敏感器" sheetId="14" r:id="rId7"/>
    <sheet name="单机参数--执行器+SADAQV" sheetId="18" r:id="rId8"/>
    <sheet name="单机参数--其他" sheetId="16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" l="1"/>
  <c r="E3" i="1"/>
  <c r="B3" i="1"/>
  <c r="C8" i="16"/>
  <c r="B8" i="16"/>
  <c r="B56" i="18"/>
  <c r="B36" i="18"/>
  <c r="C36" i="14"/>
  <c r="B35" i="14"/>
  <c r="D36" i="14"/>
  <c r="D35" i="14"/>
  <c r="D34" i="14"/>
  <c r="C34" i="14"/>
  <c r="D33" i="14"/>
  <c r="B33" i="14"/>
</calcChain>
</file>

<file path=xl/sharedStrings.xml><?xml version="1.0" encoding="utf-8"?>
<sst xmlns="http://schemas.openxmlformats.org/spreadsheetml/2006/main" count="418" uniqueCount="277">
  <si>
    <t>质量（kg）</t>
    <phoneticPr fontId="1" type="noConversion"/>
  </si>
  <si>
    <t>质心（m）</t>
    <phoneticPr fontId="1" type="noConversion"/>
  </si>
  <si>
    <t>转动惯量（kgm²）</t>
    <phoneticPr fontId="1" type="noConversion"/>
  </si>
  <si>
    <t>转动惯量（kgm²）</t>
    <phoneticPr fontId="1" type="noConversion"/>
  </si>
  <si>
    <t>安装位置（m）</t>
    <phoneticPr fontId="1" type="noConversion"/>
  </si>
  <si>
    <t>安装矩阵</t>
    <phoneticPr fontId="1" type="noConversion"/>
  </si>
  <si>
    <t>星体（不含太阳翼）质量，mL</t>
    <phoneticPr fontId="1" type="noConversion"/>
  </si>
  <si>
    <t>星体质心相对于机械L系原点的矢量，在机械L系下的表示，r_L_Lc_L</t>
    <phoneticPr fontId="1" type="noConversion"/>
  </si>
  <si>
    <r>
      <rPr>
        <sz val="11"/>
        <color rgb="FFFF0000"/>
        <rFont val="等线"/>
        <family val="3"/>
        <charset val="134"/>
        <scheme val="minor"/>
      </rPr>
      <t xml:space="preserve">姿轨控填写
</t>
    </r>
    <r>
      <rPr>
        <sz val="11"/>
        <color theme="1"/>
        <rFont val="等线"/>
        <family val="2"/>
        <scheme val="minor"/>
      </rPr>
      <t>附件a系零位坐标系到机械L系的转移矩阵Ab←a0</t>
    </r>
    <phoneticPr fontId="1" type="noConversion"/>
  </si>
  <si>
    <t>平动耦合系数Bt</t>
    <phoneticPr fontId="1" type="noConversion"/>
  </si>
  <si>
    <t>附件a的质心相对于a系原点的位置在a系下的表示，r_a_ac_a</t>
    <phoneticPr fontId="1" type="noConversion"/>
  </si>
  <si>
    <t>附件a相对于自身质心的转动惯量在a系下的表示，I_a_ac_a
主惯量：【Ixx  Iyy  Izz】</t>
    <phoneticPr fontId="1" type="noConversion"/>
  </si>
  <si>
    <r>
      <t xml:space="preserve">附件a的安装位置（即a点）在机械系下的表示，r_L_a_L
</t>
    </r>
    <r>
      <rPr>
        <sz val="11"/>
        <color rgb="FFFF0000"/>
        <rFont val="等线"/>
        <family val="3"/>
        <charset val="134"/>
        <scheme val="minor"/>
      </rPr>
      <t>不同附件的安装位置不同</t>
    </r>
    <phoneticPr fontId="1" type="noConversion"/>
  </si>
  <si>
    <t>附件p（太阳翼）</t>
    <phoneticPr fontId="1" type="noConversion"/>
  </si>
  <si>
    <t>附件a（连杆）</t>
    <phoneticPr fontId="1" type="noConversion"/>
  </si>
  <si>
    <t>平动耦合系数Br</t>
    <phoneticPr fontId="1" type="noConversion"/>
  </si>
  <si>
    <t>面外</t>
  </si>
  <si>
    <t>面内</t>
  </si>
  <si>
    <t>扭转</t>
  </si>
  <si>
    <t>频率（Hz）</t>
    <phoneticPr fontId="1" type="noConversion"/>
  </si>
  <si>
    <t>挠性选取阶次</t>
    <phoneticPr fontId="1" type="noConversion"/>
  </si>
  <si>
    <t>约束模态挠性参数</t>
    <phoneticPr fontId="1" type="noConversion"/>
  </si>
  <si>
    <t>附件p约束模态下相对于p系原点的耦合系数（p系）</t>
    <phoneticPr fontId="1" type="noConversion"/>
  </si>
  <si>
    <t>收拢状态</t>
    <phoneticPr fontId="1" type="noConversion"/>
  </si>
  <si>
    <t>展开状态</t>
    <phoneticPr fontId="1" type="noConversion"/>
  </si>
  <si>
    <t>收拢状态</t>
    <phoneticPr fontId="1" type="noConversion"/>
  </si>
  <si>
    <t>展开状态</t>
    <phoneticPr fontId="1" type="noConversion"/>
  </si>
  <si>
    <t>卫星本体</t>
    <phoneticPr fontId="1" type="noConversion"/>
  </si>
  <si>
    <t>转动惯量（kgm²）</t>
    <phoneticPr fontId="1" type="noConversion"/>
  </si>
  <si>
    <t>各舱板面积（m²）</t>
    <phoneticPr fontId="1" type="noConversion"/>
  </si>
  <si>
    <t>各舱板法线</t>
    <phoneticPr fontId="1" type="noConversion"/>
  </si>
  <si>
    <t>各舱板形心（m）</t>
    <phoneticPr fontId="1" type="noConversion"/>
  </si>
  <si>
    <t>各舱板形心相对于L系原点的位置在L系下的表示</t>
    <phoneticPr fontId="1" type="noConversion"/>
  </si>
  <si>
    <t>面积（m²）</t>
    <phoneticPr fontId="1" type="noConversion"/>
  </si>
  <si>
    <t>法线</t>
    <phoneticPr fontId="1" type="noConversion"/>
  </si>
  <si>
    <t>-X舱板</t>
    <phoneticPr fontId="1" type="noConversion"/>
  </si>
  <si>
    <t>+Y舱板</t>
    <phoneticPr fontId="1" type="noConversion"/>
  </si>
  <si>
    <t>-Y舱板</t>
    <phoneticPr fontId="1" type="noConversion"/>
  </si>
  <si>
    <t>+Z舱板</t>
    <phoneticPr fontId="1" type="noConversion"/>
  </si>
  <si>
    <t>-Z舱板</t>
    <phoneticPr fontId="1" type="noConversion"/>
  </si>
  <si>
    <t>各舱板面积，+X舱板</t>
    <phoneticPr fontId="1" type="noConversion"/>
  </si>
  <si>
    <t>各舱板法线（指向星体外）在L系下的表示</t>
    <phoneticPr fontId="1" type="noConversion"/>
  </si>
  <si>
    <r>
      <rPr>
        <sz val="11"/>
        <color rgb="FFFF0000"/>
        <rFont val="等线"/>
        <family val="3"/>
        <charset val="134"/>
        <scheme val="minor"/>
      </rPr>
      <t>姿轨控填写，一般不用改。</t>
    </r>
    <r>
      <rPr>
        <sz val="11"/>
        <color theme="1"/>
        <rFont val="等线"/>
        <family val="2"/>
        <scheme val="minor"/>
      </rPr>
      <t>太阳翼法线在p系下的表示</t>
    </r>
    <phoneticPr fontId="1" type="noConversion"/>
  </si>
  <si>
    <t>太阳翼形心相对于p系原点的位置在p系下的表示</t>
    <phoneticPr fontId="1" type="noConversion"/>
  </si>
  <si>
    <t>形心（m）</t>
    <phoneticPr fontId="1" type="noConversion"/>
  </si>
  <si>
    <t>结构体命名</t>
    <phoneticPr fontId="1" type="noConversion"/>
  </si>
  <si>
    <t>SatParam.Body.m</t>
    <phoneticPr fontId="1" type="noConversion"/>
  </si>
  <si>
    <t>SatParam.A1.m</t>
    <phoneticPr fontId="1" type="noConversion"/>
  </si>
  <si>
    <t>SatParam.Body.Ic</t>
    <phoneticPr fontId="1" type="noConversion"/>
  </si>
  <si>
    <t>SatParam.Body.rc</t>
    <phoneticPr fontId="1" type="noConversion"/>
  </si>
  <si>
    <t>SatParam.StructPx.n</t>
    <phoneticPr fontId="1" type="noConversion"/>
  </si>
  <si>
    <t>SatParam.StructPx.S</t>
    <phoneticPr fontId="1" type="noConversion"/>
  </si>
  <si>
    <t>SatParam.StructPy.S</t>
    <phoneticPr fontId="1" type="noConversion"/>
  </si>
  <si>
    <t>SatParam.StructPz.S</t>
    <phoneticPr fontId="1" type="noConversion"/>
  </si>
  <si>
    <t>SatParam.StructNx.S</t>
    <phoneticPr fontId="1" type="noConversion"/>
  </si>
  <si>
    <t>SatParam.StructNy.S</t>
    <phoneticPr fontId="1" type="noConversion"/>
  </si>
  <si>
    <t>SatParam.StructNz.S</t>
    <phoneticPr fontId="1" type="noConversion"/>
  </si>
  <si>
    <t>SatParam.StructNx.n</t>
    <phoneticPr fontId="1" type="noConversion"/>
  </si>
  <si>
    <t>SatParam.StructPy.n</t>
    <phoneticPr fontId="1" type="noConversion"/>
  </si>
  <si>
    <t>SatParam.StructNy.n</t>
    <phoneticPr fontId="1" type="noConversion"/>
  </si>
  <si>
    <t>SatParam.StructPz.n</t>
    <phoneticPr fontId="1" type="noConversion"/>
  </si>
  <si>
    <t>SatParam.StructNz.n</t>
    <phoneticPr fontId="1" type="noConversion"/>
  </si>
  <si>
    <t>SatParam.StructPx.FigCent</t>
    <phoneticPr fontId="1" type="noConversion"/>
  </si>
  <si>
    <t>SatParam.StructNx.FigCent</t>
    <phoneticPr fontId="1" type="noConversion"/>
  </si>
  <si>
    <t>SatParam.StructPy.FigCent</t>
    <phoneticPr fontId="1" type="noConversion"/>
  </si>
  <si>
    <t>SatParam.StructNy.FigCent</t>
    <phoneticPr fontId="1" type="noConversion"/>
  </si>
  <si>
    <t>SatParam.StructPz.FigCent</t>
    <phoneticPr fontId="1" type="noConversion"/>
  </si>
  <si>
    <t>SatParam.StructNz.FigCent</t>
    <phoneticPr fontId="1" type="noConversion"/>
  </si>
  <si>
    <t>SatParam.A1.rc</t>
    <phoneticPr fontId="1" type="noConversion"/>
  </si>
  <si>
    <t>SatParam.A1.Ic</t>
    <phoneticPr fontId="1" type="noConversion"/>
  </si>
  <si>
    <t>SatParam.P1.m</t>
    <phoneticPr fontId="1" type="noConversion"/>
  </si>
  <si>
    <t>SatParam.P1.rc</t>
    <phoneticPr fontId="1" type="noConversion"/>
  </si>
  <si>
    <t>SatParam.P1.Ic</t>
    <phoneticPr fontId="1" type="noConversion"/>
  </si>
  <si>
    <t>SatParam.A1.FixPoint</t>
    <phoneticPr fontId="1" type="noConversion"/>
  </si>
  <si>
    <t>SatParam.A1.Aba</t>
    <phoneticPr fontId="1" type="noConversion"/>
  </si>
  <si>
    <t>SatParam.StructPp1.S</t>
    <phoneticPr fontId="1" type="noConversion"/>
  </si>
  <si>
    <t>SatParam.StructPp1.n</t>
    <phoneticPr fontId="1" type="noConversion"/>
  </si>
  <si>
    <t>SatParam.StructPp1.FigCent</t>
    <phoneticPr fontId="1" type="noConversion"/>
  </si>
  <si>
    <t>Choice_q1</t>
    <phoneticPr fontId="1" type="noConversion"/>
  </si>
  <si>
    <t>阻尼</t>
    <phoneticPr fontId="1" type="noConversion"/>
  </si>
  <si>
    <t>SatParam.FlexP1.Fre</t>
    <phoneticPr fontId="1" type="noConversion"/>
  </si>
  <si>
    <t>SatParam.FlexP1.Num</t>
    <phoneticPr fontId="1" type="noConversion"/>
  </si>
  <si>
    <t>SatParam.FlexP1.Ksi</t>
    <phoneticPr fontId="1" type="noConversion"/>
  </si>
  <si>
    <t>SatParam.FlexP1.Bt</t>
    <phoneticPr fontId="1" type="noConversion"/>
  </si>
  <si>
    <t>SatParam.FlexP1.Br</t>
    <phoneticPr fontId="1" type="noConversion"/>
  </si>
  <si>
    <t>SatParam.A2.m</t>
  </si>
  <si>
    <t>SatParam.A2.rc</t>
  </si>
  <si>
    <t>SatParam.A2.Ic</t>
  </si>
  <si>
    <t>SatParam.A2.FixPoint</t>
  </si>
  <si>
    <t>SatParam.A2.Aba</t>
  </si>
  <si>
    <t>SatParam.P2.m</t>
  </si>
  <si>
    <t>SatParam.P2.rc</t>
  </si>
  <si>
    <t>SatParam.P2.Ic</t>
  </si>
  <si>
    <t>SatParam.StructPp2.S</t>
  </si>
  <si>
    <t>SatParam.StructPp2.n</t>
  </si>
  <si>
    <t>SatParam.StructPp2.FigCent</t>
  </si>
  <si>
    <t>SatParam.FlexP2.Num</t>
  </si>
  <si>
    <t>Choice_q2</t>
  </si>
  <si>
    <t>SatParam.FlexP2.Fre</t>
  </si>
  <si>
    <t>SatParam.FlexP2.Ksi</t>
  </si>
  <si>
    <t>SatParam.FlexP2.Bt</t>
  </si>
  <si>
    <t>SatParam.FlexP2.Br</t>
  </si>
  <si>
    <t>SatParam.A3.m</t>
  </si>
  <si>
    <t>SatParam.A3.rc</t>
  </si>
  <si>
    <t>SatParam.A3.Ic</t>
  </si>
  <si>
    <t>SatParam.A3.FixPoint</t>
  </si>
  <si>
    <t>SatParam.A3.Aba</t>
  </si>
  <si>
    <t>SatParam.P3.m</t>
  </si>
  <si>
    <t>SatParam.P3.rc</t>
  </si>
  <si>
    <t>SatParam.P3.Ic</t>
  </si>
  <si>
    <t>SatParam.A4.m</t>
  </si>
  <si>
    <t>SatParam.A4.rc</t>
  </si>
  <si>
    <t>SatParam.A4.Ic</t>
  </si>
  <si>
    <t>SatParam.A4.FixPoint</t>
  </si>
  <si>
    <t>SatParam.A4.Aba</t>
  </si>
  <si>
    <t>SatParam.P4.m</t>
  </si>
  <si>
    <t>SatParam.P4.rc</t>
  </si>
  <si>
    <t>SatParam.P4.Ic</t>
  </si>
  <si>
    <t>附件p（QV天线）</t>
    <phoneticPr fontId="1" type="noConversion"/>
  </si>
  <si>
    <t>附件a（QV天线）</t>
    <phoneticPr fontId="1" type="noConversion"/>
  </si>
  <si>
    <t>SatParam.Body.FixPoint</t>
    <phoneticPr fontId="1" type="noConversion"/>
  </si>
  <si>
    <t>SatParam.Body.Aba</t>
    <phoneticPr fontId="1" type="noConversion"/>
  </si>
  <si>
    <t>星敏</t>
    <phoneticPr fontId="1" type="noConversion"/>
  </si>
  <si>
    <t>星敏1</t>
    <phoneticPr fontId="1" type="noConversion"/>
  </si>
  <si>
    <t>星敏2</t>
    <phoneticPr fontId="1" type="noConversion"/>
  </si>
  <si>
    <t>星敏3</t>
    <phoneticPr fontId="1" type="noConversion"/>
  </si>
  <si>
    <t>星敏4</t>
    <phoneticPr fontId="1" type="noConversion"/>
  </si>
  <si>
    <t>星敏光轴，测量系到本体系四元数</t>
    <phoneticPr fontId="1" type="noConversion"/>
  </si>
  <si>
    <t>地气光保护角(deg)</t>
    <phoneticPr fontId="1" type="noConversion"/>
  </si>
  <si>
    <t>太阳光保护角(deg)</t>
    <phoneticPr fontId="1" type="noConversion"/>
  </si>
  <si>
    <t>陀螺</t>
    <phoneticPr fontId="1" type="noConversion"/>
  </si>
  <si>
    <t>陀螺1</t>
    <phoneticPr fontId="1" type="noConversion"/>
  </si>
  <si>
    <t>陀螺2</t>
    <phoneticPr fontId="1" type="noConversion"/>
  </si>
  <si>
    <t>陀螺3</t>
    <phoneticPr fontId="1" type="noConversion"/>
  </si>
  <si>
    <t>陀螺4</t>
    <phoneticPr fontId="1" type="noConversion"/>
  </si>
  <si>
    <t>磁强计</t>
    <phoneticPr fontId="1" type="noConversion"/>
  </si>
  <si>
    <t>磁强计1</t>
    <phoneticPr fontId="1" type="noConversion"/>
  </si>
  <si>
    <t>磁强计2</t>
    <phoneticPr fontId="1" type="noConversion"/>
  </si>
  <si>
    <t>磁强计4</t>
    <phoneticPr fontId="1" type="noConversion"/>
  </si>
  <si>
    <t>磁强计3</t>
    <phoneticPr fontId="1" type="noConversion"/>
  </si>
  <si>
    <t>太敏</t>
    <phoneticPr fontId="1" type="noConversion"/>
  </si>
  <si>
    <t>太敏1</t>
    <phoneticPr fontId="1" type="noConversion"/>
  </si>
  <si>
    <t>太敏2</t>
    <phoneticPr fontId="1" type="noConversion"/>
  </si>
  <si>
    <t>太敏3</t>
    <phoneticPr fontId="1" type="noConversion"/>
  </si>
  <si>
    <t>太敏4</t>
    <phoneticPr fontId="1" type="noConversion"/>
  </si>
  <si>
    <t>太敏系下第1个电池片法线方向</t>
    <phoneticPr fontId="1" type="noConversion"/>
  </si>
  <si>
    <t>太敏系下第2个电池片法线方向</t>
    <phoneticPr fontId="1" type="noConversion"/>
  </si>
  <si>
    <t>太敏系下第3个电池片法线方向</t>
    <phoneticPr fontId="1" type="noConversion"/>
  </si>
  <si>
    <t>太敏系下第4个电池片法线方向</t>
    <phoneticPr fontId="1" type="noConversion"/>
  </si>
  <si>
    <t>太敏5</t>
    <phoneticPr fontId="1" type="noConversion"/>
  </si>
  <si>
    <t>太敏6</t>
    <phoneticPr fontId="1" type="noConversion"/>
  </si>
  <si>
    <t>输出给Labview的太敏顺序</t>
  </si>
  <si>
    <t>飞轮</t>
    <phoneticPr fontId="1" type="noConversion"/>
  </si>
  <si>
    <t>飞轮1</t>
    <phoneticPr fontId="1" type="noConversion"/>
  </si>
  <si>
    <t>飞轮2</t>
    <phoneticPr fontId="1" type="noConversion"/>
  </si>
  <si>
    <t>飞轮3</t>
    <phoneticPr fontId="1" type="noConversion"/>
  </si>
  <si>
    <t>飞轮4</t>
    <phoneticPr fontId="1" type="noConversion"/>
  </si>
  <si>
    <t>飞轮5</t>
    <phoneticPr fontId="1" type="noConversion"/>
  </si>
  <si>
    <t>飞轮6</t>
    <phoneticPr fontId="1" type="noConversion"/>
  </si>
  <si>
    <t>磁力矩器</t>
    <phoneticPr fontId="1" type="noConversion"/>
  </si>
  <si>
    <t>磁力矩器1</t>
    <phoneticPr fontId="1" type="noConversion"/>
  </si>
  <si>
    <t>磁力矩器2</t>
    <phoneticPr fontId="1" type="noConversion"/>
  </si>
  <si>
    <t>磁力矩器3</t>
    <phoneticPr fontId="1" type="noConversion"/>
  </si>
  <si>
    <t>磁力矩器4</t>
    <phoneticPr fontId="1" type="noConversion"/>
  </si>
  <si>
    <t>磁力矩器5</t>
    <phoneticPr fontId="1" type="noConversion"/>
  </si>
  <si>
    <t>磁力矩器6</t>
    <phoneticPr fontId="1" type="noConversion"/>
  </si>
  <si>
    <t>GNSS</t>
    <phoneticPr fontId="1" type="noConversion"/>
  </si>
  <si>
    <t>相机/载荷</t>
    <phoneticPr fontId="1" type="noConversion"/>
  </si>
  <si>
    <t>GNSS的递推功能的时间</t>
  </si>
  <si>
    <t>SADA</t>
    <phoneticPr fontId="1" type="noConversion"/>
  </si>
  <si>
    <t>推力矢量方向</t>
    <phoneticPr fontId="1" type="noConversion"/>
  </si>
  <si>
    <t>SADA电机1</t>
    <phoneticPr fontId="1" type="noConversion"/>
  </si>
  <si>
    <t>SADA电机2</t>
    <phoneticPr fontId="1" type="noConversion"/>
  </si>
  <si>
    <t>SADA电机3</t>
    <phoneticPr fontId="1" type="noConversion"/>
  </si>
  <si>
    <t>SADA电机4</t>
    <phoneticPr fontId="1" type="noConversion"/>
  </si>
  <si>
    <t>SADA坐标系到转动单元的极性</t>
  </si>
  <si>
    <t>驱动器指令到转动单元的极性</t>
  </si>
  <si>
    <t>SADA转序</t>
    <phoneticPr fontId="1" type="noConversion"/>
  </si>
  <si>
    <t>步距角(deg)</t>
    <phoneticPr fontId="1" type="noConversion"/>
  </si>
  <si>
    <t>减速比</t>
    <phoneticPr fontId="1" type="noConversion"/>
  </si>
  <si>
    <t>零位对应旋变值 deg</t>
  </si>
  <si>
    <t>驱动器中的位置门限，SADA系角度限幅值-正向，deg(不需限位时正反向门限设同一个值即可)</t>
  </si>
  <si>
    <t>SADA系角度限幅值-负向，deg</t>
  </si>
  <si>
    <t>物理硬限位，SADA系角度限幅值-正向，deg(不需限位时可用±360000，可转约1000轨)</t>
    <phoneticPr fontId="1" type="noConversion"/>
  </si>
  <si>
    <t>物理硬限位，SADA系角度限幅值-负向，deg</t>
    <phoneticPr fontId="1" type="noConversion"/>
  </si>
  <si>
    <t>星敏系下的光轴矢量</t>
    <phoneticPr fontId="1" type="noConversion"/>
  </si>
  <si>
    <t>正向步数门限。如果是连续转动，设置成正负相等即可；如果是非连续转动，需设置成相应的数（0~360对应的数）</t>
    <phoneticPr fontId="1" type="noConversion"/>
  </si>
  <si>
    <t>反向步数门限。</t>
    <phoneticPr fontId="1" type="noConversion"/>
  </si>
  <si>
    <t>QV</t>
    <phoneticPr fontId="1" type="noConversion"/>
  </si>
  <si>
    <t>QV转序</t>
    <phoneticPr fontId="1" type="noConversion"/>
  </si>
  <si>
    <t>QV系下QV初始角度（收拢状态下）(deg)</t>
    <phoneticPr fontId="1" type="noConversion"/>
  </si>
  <si>
    <t>驱动器中的位置门限，QV系角度-正向，deg(不需限位时正反向门限设同一个值即可)</t>
  </si>
  <si>
    <t>驱动器中的位置门限，QV系角度-负向，deg(不需限位时正反向门限设同一个值即可)</t>
    <phoneticPr fontId="1" type="noConversion"/>
  </si>
  <si>
    <t>物理硬限位，QV系角度-正向，deg(不需限位时可用±360000，可转约1000轨)</t>
    <phoneticPr fontId="1" type="noConversion"/>
  </si>
  <si>
    <t>物理硬限位，QV系角度-负向，deg(不需限位时可用±360000，可转约1000轨)</t>
    <phoneticPr fontId="1" type="noConversion"/>
  </si>
  <si>
    <t>QV坐标系到转动单元的极性</t>
    <phoneticPr fontId="1" type="noConversion"/>
  </si>
  <si>
    <t>电推（注意矩阵形式！）</t>
    <phoneticPr fontId="1" type="noConversion"/>
  </si>
  <si>
    <t>状态1：太阳翼收拢</t>
  </si>
  <si>
    <t>质量（kg）</t>
  </si>
  <si>
    <t>整星质量，mL</t>
  </si>
  <si>
    <t>质心（m）</t>
  </si>
  <si>
    <t>整星质心相对于机械L系原点的矢量，在机械L系下的表示，r_L_bc_L</t>
  </si>
  <si>
    <t>转动惯量（kgm²）</t>
  </si>
  <si>
    <t>整星相对于整星质心的转动惯量，在机械L系下的表示，I_b_bc_L
主惯量：【Ixx  Iyy  Izz】</t>
  </si>
  <si>
    <t>状态2：太阳翼展开、
A轴0° B轴0°</t>
  </si>
  <si>
    <t>多提供几组不同状态的整星数据，用于动力学合成后的比对</t>
  </si>
  <si>
    <t>状态3：太阳翼展开、
A轴0° B轴38°</t>
  </si>
  <si>
    <t>状态4：太阳翼展开、
A轴45° B轴38°</t>
  </si>
  <si>
    <t>挠性参数</t>
    <phoneticPr fontId="1" type="noConversion"/>
  </si>
  <si>
    <t>QV电机1</t>
    <phoneticPr fontId="1" type="noConversion"/>
  </si>
  <si>
    <t>QV电机2</t>
    <phoneticPr fontId="1" type="noConversion"/>
  </si>
  <si>
    <t>QV电机3</t>
    <phoneticPr fontId="1" type="noConversion"/>
  </si>
  <si>
    <t>QV电机4</t>
    <phoneticPr fontId="1" type="noConversion"/>
  </si>
  <si>
    <t>挠性选取阶次总数</t>
    <phoneticPr fontId="1" type="noConversion"/>
  </si>
  <si>
    <t>SADA电机5</t>
    <phoneticPr fontId="1" type="noConversion"/>
  </si>
  <si>
    <t>SADA电机6</t>
    <phoneticPr fontId="1" type="noConversion"/>
  </si>
  <si>
    <t>太阳翼结构参数</t>
    <phoneticPr fontId="1" type="noConversion"/>
  </si>
  <si>
    <t>磁棒上升时间(s)</t>
  </si>
  <si>
    <t>SatParam.P1.FixPoint</t>
    <phoneticPr fontId="1" type="noConversion"/>
  </si>
  <si>
    <t>SatParam.P1.Aba</t>
    <phoneticPr fontId="1" type="noConversion"/>
  </si>
  <si>
    <t>SatParam.P2.FixPoint</t>
    <phoneticPr fontId="1" type="noConversion"/>
  </si>
  <si>
    <t>附件p的质心相对于p系原点的位置在p系下的表示，r_p_pc_p</t>
    <phoneticPr fontId="1" type="noConversion"/>
  </si>
  <si>
    <t>太阳翼面积</t>
    <phoneticPr fontId="1" type="noConversion"/>
  </si>
  <si>
    <t>阶次选取要求满足惯性完备性&gt;90%</t>
    <phoneticPr fontId="1" type="noConversion"/>
  </si>
  <si>
    <t>附件p相对于自身质心的转动惯量，在附件p系下的表示，I_p_pc_p
主惯量：【Ixx  Iyy  Izz】</t>
    <phoneticPr fontId="1" type="noConversion"/>
  </si>
  <si>
    <r>
      <rPr>
        <sz val="11"/>
        <color rgb="FFFF0000"/>
        <rFont val="等线"/>
        <family val="3"/>
        <charset val="134"/>
        <scheme val="minor"/>
      </rPr>
      <t xml:space="preserve">姿轨控填写，一般是单位阵不用改
</t>
    </r>
    <r>
      <rPr>
        <sz val="11"/>
        <color theme="1"/>
        <rFont val="等线"/>
        <family val="2"/>
        <scheme val="minor"/>
      </rPr>
      <t>附件p系到a系零位坐标系的转移矩阵Aa0←p</t>
    </r>
    <phoneticPr fontId="1" type="noConversion"/>
  </si>
  <si>
    <t>附件p系原点相对于a系的矢量，在附件a系下的表示，r_a_p_a</t>
    <phoneticPr fontId="1" type="noConversion"/>
  </si>
  <si>
    <t>卫星编号（参考钉盘）</t>
    <phoneticPr fontId="1" type="noConversion"/>
  </si>
  <si>
    <t>星敏噪声（角秒）</t>
    <phoneticPr fontId="1" type="noConversion"/>
  </si>
  <si>
    <t>输出的时间戳相对于1970的UTC时间，默认0（s）</t>
    <phoneticPr fontId="1" type="noConversion"/>
  </si>
  <si>
    <t>磁强计噪声（Gs）</t>
    <phoneticPr fontId="1" type="noConversion"/>
  </si>
  <si>
    <t>太敏测量分辨率（mA/bit）</t>
    <phoneticPr fontId="1" type="noConversion"/>
  </si>
  <si>
    <t>太阳常数*电池片面积 = 太敏最大电流（A）</t>
    <phoneticPr fontId="1" type="noConversion"/>
  </si>
  <si>
    <t>采样电阻（Ω）</t>
    <phoneticPr fontId="1" type="noConversion"/>
  </si>
  <si>
    <t>太敏噪声（mV）</t>
    <phoneticPr fontId="1" type="noConversion"/>
  </si>
  <si>
    <t>飞轮模式（1-转矩模式；2-转速模式）</t>
    <phoneticPr fontId="1" type="noConversion"/>
  </si>
  <si>
    <t>初始转速（rpm）</t>
    <phoneticPr fontId="1" type="noConversion"/>
  </si>
  <si>
    <t>推力大小（N）</t>
    <phoneticPr fontId="1" type="noConversion"/>
  </si>
  <si>
    <t>点火准备时间（s）</t>
    <phoneticPr fontId="1" type="noConversion"/>
  </si>
  <si>
    <t>GNSS采样频率（Hz）</t>
    <phoneticPr fontId="1" type="noConversion"/>
  </si>
  <si>
    <t>GNSS位置噪声（m），1sigma</t>
    <phoneticPr fontId="1" type="noConversion"/>
  </si>
  <si>
    <t>GNSS速度噪声（m/s），1sigma</t>
    <phoneticPr fontId="1" type="noConversion"/>
  </si>
  <si>
    <r>
      <t>剩磁</t>
    </r>
    <r>
      <rPr>
        <sz val="11"/>
        <color theme="1"/>
        <rFont val="等线"/>
        <family val="3"/>
        <charset val="134"/>
        <scheme val="minor"/>
      </rPr>
      <t>（Am2）</t>
    </r>
    <phoneticPr fontId="1" type="noConversion"/>
  </si>
  <si>
    <t>零位对应旋变值 （deg）</t>
    <phoneticPr fontId="1" type="noConversion"/>
  </si>
  <si>
    <t>霍尔1单边触发宽度（deg）（【左；右】）取值±180°范围内,转动单元坐标系</t>
    <phoneticPr fontId="1" type="noConversion"/>
  </si>
  <si>
    <t>SADA系下SADA初始角度，收拢状态下（deg）</t>
    <phoneticPr fontId="1" type="noConversion"/>
  </si>
  <si>
    <t>说明</t>
    <phoneticPr fontId="1" type="noConversion"/>
  </si>
  <si>
    <t>反向步数门限</t>
    <phoneticPr fontId="1" type="noConversion"/>
  </si>
  <si>
    <t>正向步数门限；QV驱动器真机不设步数门限，正反向门限设同一个值即可</t>
    <phoneticPr fontId="1" type="noConversion"/>
  </si>
  <si>
    <t>霍尔2单边触发宽度（deg）（【左；右】），转动单元坐标系</t>
    <phoneticPr fontId="1" type="noConversion"/>
  </si>
  <si>
    <t>霍尔1单边触发宽度（deg）（【左；右】），QV不用默认填0即可</t>
    <phoneticPr fontId="1" type="noConversion"/>
  </si>
  <si>
    <t>霍尔2单边触发宽度（deg）（【左；右】），QV不用默认填0即可</t>
    <phoneticPr fontId="1" type="noConversion"/>
  </si>
  <si>
    <t>输出的时间戳为相对于1970的UTC时间（s），默认0， 1136073600为1970UTC到北斗时</t>
    <phoneticPr fontId="1" type="noConversion"/>
  </si>
  <si>
    <t>QV电机1/2/3/4的频率门限（Hz）</t>
    <phoneticPr fontId="1" type="noConversion"/>
  </si>
  <si>
    <t>SADA电机1/2/3/4的频率门限（Hz）</t>
    <phoneticPr fontId="1" type="noConversion"/>
  </si>
  <si>
    <t>角度随机游走（deg/√h）</t>
    <phoneticPr fontId="1" type="noConversion"/>
  </si>
  <si>
    <t>最大角动量（Nms）</t>
    <phoneticPr fontId="1" type="noConversion"/>
  </si>
  <si>
    <t>最大力矩（Nm）</t>
    <phoneticPr fontId="1" type="noConversion"/>
  </si>
  <si>
    <t>飞轮惯量（kgm²）</t>
    <phoneticPr fontId="1" type="noConversion"/>
  </si>
  <si>
    <t>最大磁矩（Am²）</t>
    <phoneticPr fontId="1" type="noConversion"/>
  </si>
  <si>
    <t>磁棒对磁强计（本体系测量值）影响系数（Gs/Am²），n*3，乘性系数，无影响填零。每行为对应磁棒单位磁矩对磁强计的三轴影响</t>
    <phoneticPr fontId="1" type="noConversion"/>
  </si>
  <si>
    <t>安装矩阵，单机系到本体系</t>
    <phoneticPr fontId="1" type="noConversion"/>
  </si>
  <si>
    <t>轮轴矢量，单机系到本体系</t>
    <phoneticPr fontId="1" type="noConversion"/>
  </si>
  <si>
    <t>星敏数量</t>
    <phoneticPr fontId="1" type="noConversion"/>
  </si>
  <si>
    <t>陀螺数量</t>
    <phoneticPr fontId="1" type="noConversion"/>
  </si>
  <si>
    <t>磁强计数量</t>
    <phoneticPr fontId="1" type="noConversion"/>
  </si>
  <si>
    <t>太敏数量</t>
    <phoneticPr fontId="1" type="noConversion"/>
  </si>
  <si>
    <t>SADA电机数量</t>
    <phoneticPr fontId="1" type="noConversion"/>
  </si>
  <si>
    <t>飞轮数量</t>
    <phoneticPr fontId="1" type="noConversion"/>
  </si>
  <si>
    <t>磁力矩器数量</t>
    <phoneticPr fontId="1" type="noConversion"/>
  </si>
  <si>
    <t>QV电机数量</t>
    <phoneticPr fontId="1" type="noConversion"/>
  </si>
  <si>
    <t>附件a的质量（若无该附件，质量赋0）</t>
    <phoneticPr fontId="1" type="noConversion"/>
  </si>
  <si>
    <t>附件p的质量（若无该附件，质量赋0）</t>
    <phoneticPr fontId="1" type="noConversion"/>
  </si>
  <si>
    <r>
      <t xml:space="preserve">星体相对于自身质心的转动惯量，在机械L系下的表示，I_L_Lc_L
主惯量：【Ixx  Iyy  Izz】
</t>
    </r>
    <r>
      <rPr>
        <b/>
        <sz val="11"/>
        <color rgb="FFFF0000"/>
        <rFont val="等线"/>
        <family val="3"/>
        <charset val="134"/>
        <scheme val="minor"/>
      </rPr>
      <t>为了计算方便，星体收拢状态惯量可配置为包含全部收拢态附件的固定惯量，此时附件的收拢态惯量需要赋0。</t>
    </r>
    <phoneticPr fontId="1" type="noConversion"/>
  </si>
  <si>
    <t>磁电流(mA)到磁矩(Am²)的转换系数，
没有磁棒的填0</t>
    <phoneticPr fontId="1" type="noConversion"/>
  </si>
  <si>
    <t>转动耦合系数Br</t>
    <phoneticPr fontId="1" type="noConversion"/>
  </si>
  <si>
    <r>
      <t>惯性积：【-Ixy  -Ixz  -Iyz】，</t>
    </r>
    <r>
      <rPr>
        <sz val="11"/>
        <color rgb="FFFF0000"/>
        <rFont val="等线"/>
        <family val="3"/>
        <charset val="134"/>
        <scheme val="minor"/>
      </rPr>
      <t>此处惯性积需按照惯量矩阵定义的方式填写，要特别注意结构提供的惯性积的定义方式。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</si>
</sst>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i/>
      <sz val="10.5"/>
      <color rgb="FFFF0000"/>
      <name val="Times New Roman"/>
      <family val="1"/>
    </font>
    <font>
      <sz val="12"/>
      <color theme="1"/>
      <name val="宋体"/>
      <family val="3"/>
      <charset val="134"/>
    </font>
    <font>
      <i/>
      <sz val="11"/>
      <color rgb="FFFF000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2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</font>
    <font>
      <i/>
      <sz val="11"/>
      <color rgb="FFFF0000"/>
      <name val="等线"/>
      <family val="3"/>
      <charset val="134"/>
    </font>
    <font>
      <i/>
      <sz val="10"/>
      <color rgb="FFFF0000"/>
      <name val="Times New Roman"/>
      <family val="1"/>
    </font>
    <font>
      <sz val="10"/>
      <color theme="1"/>
      <name val="等线"/>
      <family val="2"/>
      <scheme val="minor"/>
    </font>
    <font>
      <b/>
      <sz val="11"/>
      <color rgb="FFFF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8" fillId="0" borderId="0">
      <alignment vertical="center"/>
    </xf>
  </cellStyleXfs>
  <cellXfs count="19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2" xfId="0" applyBorder="1" applyAlignment="1">
      <alignment vertical="center" wrapText="1"/>
    </xf>
    <xf numFmtId="0" fontId="6" fillId="0" borderId="2" xfId="0" applyFont="1" applyBorder="1" applyAlignment="1">
      <alignment vertical="center"/>
    </xf>
    <xf numFmtId="0" fontId="0" fillId="0" borderId="6" xfId="0" applyBorder="1" applyAlignment="1">
      <alignment horizontal="left" vertical="center"/>
    </xf>
    <xf numFmtId="0" fontId="0" fillId="0" borderId="1" xfId="0" applyBorder="1"/>
    <xf numFmtId="0" fontId="0" fillId="0" borderId="15" xfId="0" applyBorder="1"/>
    <xf numFmtId="0" fontId="0" fillId="0" borderId="14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3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1" xfId="0" applyBorder="1"/>
    <xf numFmtId="0" fontId="0" fillId="0" borderId="12" xfId="0" applyBorder="1"/>
    <xf numFmtId="11" fontId="0" fillId="0" borderId="2" xfId="0" applyNumberFormat="1" applyBorder="1"/>
    <xf numFmtId="11" fontId="0" fillId="0" borderId="3" xfId="0" applyNumberFormat="1" applyBorder="1"/>
    <xf numFmtId="11" fontId="0" fillId="0" borderId="4" xfId="0" applyNumberFormat="1" applyBorder="1"/>
    <xf numFmtId="11" fontId="0" fillId="0" borderId="11" xfId="0" applyNumberFormat="1" applyBorder="1"/>
    <xf numFmtId="11" fontId="0" fillId="0" borderId="12" xfId="0" applyNumberFormat="1" applyBorder="1"/>
    <xf numFmtId="11" fontId="0" fillId="0" borderId="13" xfId="0" applyNumberFormat="1" applyBorder="1"/>
    <xf numFmtId="11" fontId="0" fillId="0" borderId="14" xfId="0" applyNumberFormat="1" applyBorder="1"/>
    <xf numFmtId="11" fontId="0" fillId="0" borderId="15" xfId="0" applyNumberForma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7" fillId="0" borderId="19" xfId="0" applyFont="1" applyBorder="1"/>
    <xf numFmtId="0" fontId="3" fillId="0" borderId="24" xfId="0" applyFont="1" applyBorder="1"/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left" vertical="center"/>
    </xf>
    <xf numFmtId="0" fontId="0" fillId="0" borderId="25" xfId="0" applyBorder="1"/>
    <xf numFmtId="0" fontId="0" fillId="0" borderId="26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28" xfId="0" applyBorder="1" applyAlignment="1">
      <alignment horizontal="left" vertical="center"/>
    </xf>
    <xf numFmtId="11" fontId="0" fillId="0" borderId="33" xfId="0" applyNumberFormat="1" applyBorder="1"/>
    <xf numFmtId="11" fontId="0" fillId="0" borderId="30" xfId="0" applyNumberFormat="1" applyBorder="1"/>
    <xf numFmtId="11" fontId="0" fillId="0" borderId="34" xfId="0" applyNumberFormat="1" applyBorder="1"/>
    <xf numFmtId="0" fontId="0" fillId="0" borderId="24" xfId="0" applyBorder="1"/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0" fillId="0" borderId="19" xfId="0" applyBorder="1" applyAlignment="1">
      <alignment vertical="center"/>
    </xf>
    <xf numFmtId="0" fontId="0" fillId="0" borderId="26" xfId="0" applyBorder="1" applyAlignment="1">
      <alignment vertical="center"/>
    </xf>
    <xf numFmtId="0" fontId="0" fillId="0" borderId="32" xfId="0" applyBorder="1" applyAlignment="1">
      <alignment vertical="center"/>
    </xf>
    <xf numFmtId="0" fontId="0" fillId="0" borderId="32" xfId="0" applyBorder="1" applyAlignment="1">
      <alignment vertical="center" wrapText="1"/>
    </xf>
    <xf numFmtId="0" fontId="0" fillId="0" borderId="26" xfId="0" applyBorder="1" applyAlignment="1">
      <alignment vertical="center" wrapText="1"/>
    </xf>
    <xf numFmtId="0" fontId="3" fillId="0" borderId="23" xfId="0" applyFont="1" applyBorder="1" applyAlignment="1">
      <alignment horizontal="left" vertical="center"/>
    </xf>
    <xf numFmtId="0" fontId="0" fillId="0" borderId="29" xfId="0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3" fillId="0" borderId="39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28" xfId="0" applyBorder="1" applyAlignment="1">
      <alignment vertical="center"/>
    </xf>
    <xf numFmtId="49" fontId="0" fillId="0" borderId="32" xfId="0" applyNumberFormat="1" applyBorder="1" applyAlignment="1">
      <alignment vertical="center"/>
    </xf>
    <xf numFmtId="0" fontId="6" fillId="0" borderId="32" xfId="0" applyFont="1" applyBorder="1" applyAlignment="1">
      <alignment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49" fontId="0" fillId="0" borderId="0" xfId="0" applyNumberFormat="1" applyAlignment="1">
      <alignment vertical="center"/>
    </xf>
    <xf numFmtId="0" fontId="5" fillId="0" borderId="0" xfId="0" applyFont="1"/>
    <xf numFmtId="0" fontId="6" fillId="0" borderId="0" xfId="0" applyFont="1" applyAlignment="1">
      <alignment vertical="center"/>
    </xf>
    <xf numFmtId="0" fontId="0" fillId="0" borderId="35" xfId="0" applyBorder="1"/>
    <xf numFmtId="0" fontId="0" fillId="0" borderId="21" xfId="0" applyBorder="1"/>
    <xf numFmtId="0" fontId="0" fillId="0" borderId="44" xfId="0" applyBorder="1"/>
    <xf numFmtId="0" fontId="0" fillId="0" borderId="46" xfId="0" applyBorder="1"/>
    <xf numFmtId="0" fontId="9" fillId="0" borderId="47" xfId="1" applyFont="1" applyBorder="1">
      <alignment vertical="center"/>
    </xf>
    <xf numFmtId="0" fontId="10" fillId="0" borderId="47" xfId="1" applyFont="1" applyBorder="1" applyAlignment="1">
      <alignment horizontal="center" vertical="center"/>
    </xf>
    <xf numFmtId="0" fontId="9" fillId="0" borderId="0" xfId="1" applyFont="1">
      <alignment vertical="center"/>
    </xf>
    <xf numFmtId="0" fontId="9" fillId="0" borderId="0" xfId="1" applyFont="1" applyAlignment="1">
      <alignment horizontal="center" vertical="center"/>
    </xf>
    <xf numFmtId="0" fontId="8" fillId="0" borderId="0" xfId="1">
      <alignment vertical="center"/>
    </xf>
    <xf numFmtId="0" fontId="9" fillId="0" borderId="48" xfId="1" applyFont="1" applyBorder="1">
      <alignment vertical="center"/>
    </xf>
    <xf numFmtId="0" fontId="10" fillId="0" borderId="48" xfId="1" applyFont="1" applyBorder="1" applyAlignment="1">
      <alignment horizontal="center" vertical="center"/>
    </xf>
    <xf numFmtId="0" fontId="11" fillId="0" borderId="0" xfId="1" applyFont="1" applyAlignment="1">
      <alignment horizontal="center" vertical="center" wrapText="1"/>
    </xf>
    <xf numFmtId="49" fontId="9" fillId="0" borderId="0" xfId="1" applyNumberFormat="1" applyFont="1">
      <alignment vertical="center"/>
    </xf>
    <xf numFmtId="0" fontId="9" fillId="0" borderId="1" xfId="1" applyFont="1" applyBorder="1">
      <alignment vertical="center"/>
    </xf>
    <xf numFmtId="0" fontId="10" fillId="0" borderId="1" xfId="1" applyFont="1" applyBorder="1" applyAlignment="1">
      <alignment horizontal="center" vertical="center"/>
    </xf>
    <xf numFmtId="0" fontId="0" fillId="0" borderId="51" xfId="0" applyBorder="1"/>
    <xf numFmtId="0" fontId="7" fillId="0" borderId="52" xfId="0" applyFont="1" applyBorder="1"/>
    <xf numFmtId="0" fontId="0" fillId="0" borderId="53" xfId="0" applyBorder="1"/>
    <xf numFmtId="0" fontId="3" fillId="0" borderId="16" xfId="0" applyFont="1" applyBorder="1" applyAlignment="1">
      <alignment horizontal="left" vertical="center"/>
    </xf>
    <xf numFmtId="49" fontId="0" fillId="0" borderId="42" xfId="0" applyNumberFormat="1" applyBorder="1" applyAlignment="1">
      <alignment vertical="center"/>
    </xf>
    <xf numFmtId="0" fontId="6" fillId="0" borderId="10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6" fillId="0" borderId="32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6" fillId="0" borderId="42" xfId="0" applyFont="1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49" fontId="0" fillId="0" borderId="32" xfId="0" applyNumberFormat="1" applyBorder="1" applyAlignment="1">
      <alignment vertical="center" wrapText="1"/>
    </xf>
    <xf numFmtId="0" fontId="4" fillId="0" borderId="29" xfId="0" applyFont="1" applyBorder="1" applyAlignment="1">
      <alignment horizontal="center" vertical="center" wrapText="1"/>
    </xf>
    <xf numFmtId="0" fontId="0" fillId="0" borderId="37" xfId="0" applyBorder="1" applyAlignment="1">
      <alignment horizontal="right" vertical="center"/>
    </xf>
    <xf numFmtId="0" fontId="0" fillId="0" borderId="57" xfId="0" applyBorder="1" applyAlignment="1">
      <alignment wrapText="1"/>
    </xf>
    <xf numFmtId="0" fontId="0" fillId="0" borderId="20" xfId="0" applyBorder="1"/>
    <xf numFmtId="0" fontId="0" fillId="0" borderId="22" xfId="0" applyBorder="1"/>
    <xf numFmtId="0" fontId="0" fillId="0" borderId="23" xfId="0" applyBorder="1"/>
    <xf numFmtId="0" fontId="0" fillId="0" borderId="32" xfId="0" applyBorder="1"/>
    <xf numFmtId="0" fontId="7" fillId="0" borderId="60" xfId="0" applyFont="1" applyBorder="1"/>
    <xf numFmtId="0" fontId="6" fillId="0" borderId="10" xfId="0" applyFont="1" applyBorder="1" applyAlignment="1">
      <alignment vertical="center"/>
    </xf>
    <xf numFmtId="0" fontId="6" fillId="0" borderId="55" xfId="0" applyFont="1" applyBorder="1" applyAlignment="1">
      <alignment vertical="center"/>
    </xf>
    <xf numFmtId="0" fontId="3" fillId="0" borderId="32" xfId="0" applyFont="1" applyBorder="1" applyAlignment="1">
      <alignment horizontal="left" vertical="center"/>
    </xf>
    <xf numFmtId="0" fontId="0" fillId="0" borderId="22" xfId="0" applyBorder="1" applyAlignment="1">
      <alignment horizontal="center" vertical="center"/>
    </xf>
    <xf numFmtId="0" fontId="0" fillId="0" borderId="39" xfId="0" applyBorder="1"/>
    <xf numFmtId="0" fontId="7" fillId="0" borderId="49" xfId="0" applyFont="1" applyBorder="1"/>
    <xf numFmtId="49" fontId="3" fillId="0" borderId="32" xfId="0" applyNumberFormat="1" applyFont="1" applyBorder="1" applyAlignment="1">
      <alignment vertical="center"/>
    </xf>
    <xf numFmtId="49" fontId="0" fillId="0" borderId="43" xfId="0" applyNumberFormat="1" applyBorder="1" applyAlignment="1">
      <alignment vertical="center"/>
    </xf>
    <xf numFmtId="0" fontId="9" fillId="0" borderId="64" xfId="1" applyFont="1" applyBorder="1">
      <alignment vertical="center"/>
    </xf>
    <xf numFmtId="0" fontId="10" fillId="0" borderId="64" xfId="1" applyFont="1" applyBorder="1" applyAlignment="1">
      <alignment horizontal="center" vertical="center"/>
    </xf>
    <xf numFmtId="49" fontId="9" fillId="0" borderId="65" xfId="1" applyNumberFormat="1" applyFont="1" applyBorder="1">
      <alignment vertical="center"/>
    </xf>
    <xf numFmtId="49" fontId="9" fillId="0" borderId="67" xfId="1" applyNumberFormat="1" applyFont="1" applyBorder="1">
      <alignment vertical="center"/>
    </xf>
    <xf numFmtId="49" fontId="9" fillId="0" borderId="67" xfId="1" applyNumberFormat="1" applyFont="1" applyBorder="1" applyAlignment="1">
      <alignment vertical="center" wrapText="1"/>
    </xf>
    <xf numFmtId="49" fontId="9" fillId="0" borderId="69" xfId="1" applyNumberFormat="1" applyFont="1" applyBorder="1">
      <alignment vertical="center"/>
    </xf>
    <xf numFmtId="49" fontId="9" fillId="0" borderId="32" xfId="1" applyNumberFormat="1" applyFont="1" applyBorder="1">
      <alignment vertical="center"/>
    </xf>
    <xf numFmtId="0" fontId="9" fillId="0" borderId="29" xfId="1" applyFont="1" applyBorder="1">
      <alignment vertical="center"/>
    </xf>
    <xf numFmtId="0" fontId="10" fillId="0" borderId="29" xfId="1" applyFont="1" applyBorder="1" applyAlignment="1">
      <alignment horizontal="center" vertical="center"/>
    </xf>
    <xf numFmtId="49" fontId="9" fillId="0" borderId="42" xfId="1" applyNumberFormat="1" applyFont="1" applyBorder="1">
      <alignment vertical="center"/>
    </xf>
    <xf numFmtId="0" fontId="4" fillId="0" borderId="22" xfId="0" applyFont="1" applyBorder="1" applyAlignment="1">
      <alignment horizontal="center" vertical="center" wrapText="1"/>
    </xf>
    <xf numFmtId="49" fontId="0" fillId="0" borderId="23" xfId="0" applyNumberFormat="1" applyBorder="1" applyAlignment="1">
      <alignment vertical="center"/>
    </xf>
    <xf numFmtId="0" fontId="0" fillId="0" borderId="70" xfId="0" applyBorder="1"/>
    <xf numFmtId="0" fontId="0" fillId="0" borderId="42" xfId="0" applyBorder="1"/>
    <xf numFmtId="0" fontId="0" fillId="0" borderId="71" xfId="0" applyBorder="1"/>
    <xf numFmtId="0" fontId="0" fillId="0" borderId="39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45" xfId="0" applyBorder="1" applyAlignment="1">
      <alignment wrapText="1"/>
    </xf>
    <xf numFmtId="0" fontId="0" fillId="0" borderId="11" xfId="0" applyBorder="1" applyAlignment="1">
      <alignment horizontal="right" vertical="center"/>
    </xf>
    <xf numFmtId="0" fontId="0" fillId="0" borderId="12" xfId="0" applyBorder="1" applyAlignment="1">
      <alignment horizontal="right" vertical="center"/>
    </xf>
    <xf numFmtId="0" fontId="0" fillId="0" borderId="29" xfId="0" applyBorder="1" applyAlignment="1">
      <alignment horizontal="right" vertical="center"/>
    </xf>
    <xf numFmtId="0" fontId="0" fillId="0" borderId="15" xfId="0" applyBorder="1" applyAlignment="1">
      <alignment horizontal="center"/>
    </xf>
    <xf numFmtId="0" fontId="0" fillId="0" borderId="34" xfId="0" applyBorder="1"/>
    <xf numFmtId="0" fontId="0" fillId="2" borderId="23" xfId="0" applyFill="1" applyBorder="1"/>
    <xf numFmtId="0" fontId="0" fillId="0" borderId="31" xfId="0" applyBorder="1" applyAlignment="1">
      <alignment horizontal="center"/>
    </xf>
    <xf numFmtId="11" fontId="0" fillId="0" borderId="0" xfId="0" applyNumberFormat="1"/>
    <xf numFmtId="0" fontId="0" fillId="2" borderId="32" xfId="0" applyFill="1" applyBorder="1" applyAlignment="1">
      <alignment horizontal="center"/>
    </xf>
    <xf numFmtId="0" fontId="12" fillId="2" borderId="23" xfId="0" applyFont="1" applyFill="1" applyBorder="1"/>
    <xf numFmtId="0" fontId="0" fillId="2" borderId="27" xfId="0" applyFill="1" applyBorder="1" applyAlignment="1">
      <alignment horizontal="center"/>
    </xf>
    <xf numFmtId="0" fontId="0" fillId="2" borderId="54" xfId="0" applyFill="1" applyBorder="1"/>
    <xf numFmtId="0" fontId="0" fillId="0" borderId="13" xfId="0" applyBorder="1" applyAlignment="1">
      <alignment horizontal="right" vertical="center"/>
    </xf>
    <xf numFmtId="0" fontId="0" fillId="0" borderId="38" xfId="0" applyBorder="1" applyAlignment="1">
      <alignment horizontal="right" vertical="center"/>
    </xf>
    <xf numFmtId="0" fontId="0" fillId="0" borderId="0" xfId="0" applyAlignment="1">
      <alignment horizontal="center"/>
    </xf>
    <xf numFmtId="0" fontId="0" fillId="2" borderId="55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0" borderId="61" xfId="0" applyBorder="1" applyAlignment="1">
      <alignment horizontal="left" vertical="center"/>
    </xf>
    <xf numFmtId="0" fontId="0" fillId="0" borderId="49" xfId="0" applyBorder="1" applyAlignment="1">
      <alignment horizontal="left" vertical="center"/>
    </xf>
    <xf numFmtId="0" fontId="0" fillId="0" borderId="50" xfId="0" applyBorder="1" applyAlignment="1">
      <alignment horizontal="left" vertical="center"/>
    </xf>
    <xf numFmtId="0" fontId="0" fillId="0" borderId="22" xfId="0" applyBorder="1" applyAlignment="1">
      <alignment horizontal="center" vertical="center"/>
    </xf>
    <xf numFmtId="0" fontId="0" fillId="0" borderId="35" xfId="0" applyBorder="1" applyAlignment="1">
      <alignment horizontal="left" vertical="center"/>
    </xf>
    <xf numFmtId="0" fontId="0" fillId="0" borderId="56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26" xfId="0" applyBorder="1" applyAlignment="1">
      <alignment horizontal="left" vertical="center" wrapText="1"/>
    </xf>
    <xf numFmtId="0" fontId="0" fillId="0" borderId="26" xfId="0" applyBorder="1" applyAlignment="1">
      <alignment horizontal="left" vertical="center"/>
    </xf>
    <xf numFmtId="0" fontId="3" fillId="0" borderId="32" xfId="0" applyFont="1" applyBorder="1" applyAlignment="1">
      <alignment horizontal="left" vertical="center" wrapText="1"/>
    </xf>
    <xf numFmtId="0" fontId="3" fillId="0" borderId="32" xfId="0" applyFont="1" applyBorder="1" applyAlignment="1">
      <alignment horizontal="left" vertical="center"/>
    </xf>
    <xf numFmtId="0" fontId="3" fillId="0" borderId="43" xfId="0" applyFont="1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/>
    </xf>
    <xf numFmtId="0" fontId="3" fillId="0" borderId="36" xfId="0" applyFont="1" applyBorder="1" applyAlignment="1">
      <alignment horizontal="left" vertical="center"/>
    </xf>
    <xf numFmtId="0" fontId="0" fillId="0" borderId="62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3" fillId="0" borderId="58" xfId="0" applyFont="1" applyBorder="1" applyAlignment="1">
      <alignment horizontal="left" vertical="center"/>
    </xf>
    <xf numFmtId="0" fontId="3" fillId="0" borderId="55" xfId="0" applyFont="1" applyBorder="1" applyAlignment="1">
      <alignment horizontal="left" vertical="center"/>
    </xf>
    <xf numFmtId="0" fontId="0" fillId="0" borderId="39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0" fontId="9" fillId="0" borderId="63" xfId="1" applyFont="1" applyBorder="1" applyAlignment="1">
      <alignment horizontal="center" vertical="center"/>
    </xf>
    <xf numFmtId="0" fontId="9" fillId="0" borderId="66" xfId="1" applyFont="1" applyBorder="1" applyAlignment="1">
      <alignment horizontal="center" vertical="center"/>
    </xf>
    <xf numFmtId="0" fontId="9" fillId="0" borderId="66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68" xfId="1" applyFont="1" applyBorder="1" applyAlignment="1">
      <alignment horizontal="center" vertical="center"/>
    </xf>
    <xf numFmtId="0" fontId="9" fillId="0" borderId="26" xfId="1" applyFont="1" applyBorder="1" applyAlignment="1">
      <alignment horizontal="center" vertical="center" wrapText="1"/>
    </xf>
    <xf numFmtId="0" fontId="9" fillId="0" borderId="26" xfId="1" applyFont="1" applyBorder="1" applyAlignment="1">
      <alignment horizontal="center" vertical="center"/>
    </xf>
    <xf numFmtId="0" fontId="9" fillId="0" borderId="28" xfId="1" applyFont="1" applyBorder="1" applyAlignment="1">
      <alignment horizontal="center" vertical="center"/>
    </xf>
    <xf numFmtId="0" fontId="0" fillId="0" borderId="22" xfId="0" applyBorder="1" applyAlignment="1">
      <alignment horizontal="center"/>
    </xf>
    <xf numFmtId="0" fontId="0" fillId="0" borderId="45" xfId="0" applyBorder="1" applyAlignment="1">
      <alignment horizontal="left" vertical="center"/>
    </xf>
    <xf numFmtId="0" fontId="0" fillId="0" borderId="46" xfId="0" applyBorder="1" applyAlignment="1">
      <alignment horizontal="left" vertical="center"/>
    </xf>
    <xf numFmtId="0" fontId="0" fillId="0" borderId="59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</cellXfs>
  <cellStyles count="2">
    <cellStyle name="常规" xfId="0" builtinId="0"/>
    <cellStyle name="常规 2" xfId="1" xr:uid="{B6DE458B-91EC-4DA5-97B7-2697B67CD784}"/>
  </cellStyles>
  <dxfs count="16">
    <dxf>
      <fill>
        <patternFill patternType="lightDown"/>
      </fill>
    </dxf>
    <dxf>
      <fill>
        <patternFill patternType="lightDown"/>
      </fill>
    </dxf>
    <dxf>
      <fill>
        <patternFill patternType="lightDown"/>
      </fill>
    </dxf>
    <dxf>
      <fill>
        <patternFill patternType="lightDown"/>
      </fill>
    </dxf>
    <dxf>
      <fill>
        <patternFill patternType="lightDown"/>
      </fill>
    </dxf>
    <dxf>
      <fill>
        <patternFill patternType="lightDown"/>
      </fill>
    </dxf>
    <dxf>
      <fill>
        <patternFill patternType="lightDown"/>
      </fill>
    </dxf>
    <dxf>
      <fill>
        <patternFill patternType="lightDown"/>
      </fill>
    </dxf>
    <dxf>
      <fill>
        <patternFill patternType="lightDown"/>
      </fill>
    </dxf>
    <dxf>
      <fill>
        <patternFill patternType="lightDown"/>
      </fill>
    </dxf>
    <dxf>
      <fill>
        <patternFill patternType="lightDown"/>
      </fill>
    </dxf>
    <dxf>
      <fill>
        <patternFill patternType="lightDown"/>
      </fill>
    </dxf>
    <dxf>
      <fill>
        <patternFill patternType="lightDown"/>
      </fill>
    </dxf>
    <dxf>
      <fill>
        <patternFill patternType="lightDown"/>
      </fill>
    </dxf>
    <dxf>
      <fill>
        <patternFill patternType="lightDown"/>
      </fill>
    </dxf>
    <dxf>
      <fill>
        <patternFill patternType="lightDown"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"/>
  <sheetViews>
    <sheetView tabSelected="1" zoomScaleNormal="100" workbookViewId="0">
      <selection activeCell="H8" sqref="H8"/>
    </sheetView>
  </sheetViews>
  <sheetFormatPr defaultColWidth="9.58203125" defaultRowHeight="14" x14ac:dyDescent="0.3"/>
  <cols>
    <col min="1" max="1" width="17.75" style="1" bestFit="1" customWidth="1"/>
    <col min="2" max="3" width="10" style="2" bestFit="1" customWidth="1"/>
    <col min="4" max="5" width="9" style="2" bestFit="1" customWidth="1"/>
    <col min="6" max="6" width="10" style="2" bestFit="1" customWidth="1"/>
    <col min="7" max="7" width="9" style="2" bestFit="1" customWidth="1"/>
    <col min="8" max="8" width="61.58203125" style="1" bestFit="1" customWidth="1"/>
    <col min="9" max="9" width="24.75" style="1" bestFit="1" customWidth="1"/>
    <col min="10" max="16384" width="9.58203125" style="1"/>
  </cols>
  <sheetData>
    <row r="1" spans="1:9" x14ac:dyDescent="0.3">
      <c r="A1" s="59" t="s">
        <v>27</v>
      </c>
      <c r="B1" s="161" t="s">
        <v>26</v>
      </c>
      <c r="C1" s="161"/>
      <c r="D1" s="161"/>
      <c r="E1" s="161" t="s">
        <v>25</v>
      </c>
      <c r="F1" s="161"/>
      <c r="G1" s="161"/>
      <c r="H1" s="139" t="s">
        <v>246</v>
      </c>
      <c r="I1" s="9" t="s">
        <v>45</v>
      </c>
    </row>
    <row r="2" spans="1:9" x14ac:dyDescent="0.3">
      <c r="A2" s="60" t="s">
        <v>0</v>
      </c>
      <c r="B2" s="4">
        <v>148.26</v>
      </c>
      <c r="C2" s="4"/>
      <c r="D2" s="4"/>
      <c r="E2" s="4">
        <v>148.26</v>
      </c>
      <c r="F2" s="4"/>
      <c r="G2" s="4"/>
      <c r="H2" s="71" t="s">
        <v>6</v>
      </c>
      <c r="I2" s="14" t="s">
        <v>46</v>
      </c>
    </row>
    <row r="3" spans="1:9" x14ac:dyDescent="0.3">
      <c r="A3" s="60" t="s">
        <v>1</v>
      </c>
      <c r="B3" s="4">
        <f>-0.03424</f>
        <v>-3.424E-2</v>
      </c>
      <c r="C3" s="4">
        <v>-0.31741999999999998</v>
      </c>
      <c r="D3" s="4">
        <v>0.13499</v>
      </c>
      <c r="E3" s="4">
        <f>-0.04317</f>
        <v>-4.317E-2</v>
      </c>
      <c r="F3" s="4">
        <f>0.32025</f>
        <v>0.32024999999999998</v>
      </c>
      <c r="G3" s="4">
        <v>0.13497000000000001</v>
      </c>
      <c r="H3" s="71" t="s">
        <v>7</v>
      </c>
      <c r="I3" s="14" t="s">
        <v>49</v>
      </c>
    </row>
    <row r="4" spans="1:9" ht="56" x14ac:dyDescent="0.3">
      <c r="A4" s="162" t="s">
        <v>28</v>
      </c>
      <c r="B4" s="4">
        <v>30.9</v>
      </c>
      <c r="C4" s="4">
        <v>57.5</v>
      </c>
      <c r="D4" s="4">
        <v>41.7</v>
      </c>
      <c r="E4" s="4">
        <v>31.2</v>
      </c>
      <c r="F4" s="4">
        <v>38.6</v>
      </c>
      <c r="G4" s="4">
        <v>23.1</v>
      </c>
      <c r="H4" s="106" t="s">
        <v>273</v>
      </c>
      <c r="I4" s="164" t="s">
        <v>48</v>
      </c>
    </row>
    <row r="5" spans="1:9" ht="28" x14ac:dyDescent="0.3">
      <c r="A5" s="160"/>
      <c r="B5" s="4">
        <v>4.12</v>
      </c>
      <c r="C5" s="4">
        <v>-4.25</v>
      </c>
      <c r="D5" s="4">
        <v>1.72</v>
      </c>
      <c r="E5" s="4">
        <v>-0.54600000000000004</v>
      </c>
      <c r="F5" s="4">
        <v>0.56499999999999995</v>
      </c>
      <c r="G5" s="4">
        <v>1.54</v>
      </c>
      <c r="H5" s="106" t="s">
        <v>276</v>
      </c>
      <c r="I5" s="164"/>
    </row>
    <row r="6" spans="1:9" x14ac:dyDescent="0.3">
      <c r="A6" s="60" t="s">
        <v>4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71"/>
      <c r="I6" s="14" t="s">
        <v>120</v>
      </c>
    </row>
    <row r="7" spans="1:9" x14ac:dyDescent="0.3">
      <c r="A7" s="162" t="s">
        <v>5</v>
      </c>
      <c r="B7" s="4">
        <v>1</v>
      </c>
      <c r="C7" s="4">
        <v>0</v>
      </c>
      <c r="D7" s="4">
        <v>0</v>
      </c>
      <c r="E7" s="4">
        <v>1</v>
      </c>
      <c r="F7" s="4">
        <v>0</v>
      </c>
      <c r="G7" s="4">
        <v>0</v>
      </c>
      <c r="H7" s="71"/>
      <c r="I7" s="164" t="s">
        <v>121</v>
      </c>
    </row>
    <row r="8" spans="1:9" x14ac:dyDescent="0.3">
      <c r="A8" s="159"/>
      <c r="B8" s="4">
        <v>0</v>
      </c>
      <c r="C8" s="4">
        <v>1</v>
      </c>
      <c r="D8" s="4">
        <v>0</v>
      </c>
      <c r="E8" s="4">
        <v>0</v>
      </c>
      <c r="F8" s="4">
        <v>1</v>
      </c>
      <c r="G8" s="4">
        <v>0</v>
      </c>
      <c r="H8" s="71"/>
      <c r="I8" s="164"/>
    </row>
    <row r="9" spans="1:9" ht="14.5" thickBot="1" x14ac:dyDescent="0.35">
      <c r="A9" s="163"/>
      <c r="B9" s="66">
        <v>0</v>
      </c>
      <c r="C9" s="66">
        <v>0</v>
      </c>
      <c r="D9" s="66">
        <v>1</v>
      </c>
      <c r="E9" s="66">
        <v>0</v>
      </c>
      <c r="F9" s="66">
        <v>0</v>
      </c>
      <c r="G9" s="66">
        <v>1</v>
      </c>
      <c r="H9" s="98"/>
      <c r="I9" s="164"/>
    </row>
    <row r="10" spans="1:9" x14ac:dyDescent="0.3">
      <c r="A10" s="158" t="s">
        <v>29</v>
      </c>
      <c r="B10" s="133">
        <v>0.6</v>
      </c>
      <c r="C10" s="118"/>
      <c r="D10" s="118"/>
      <c r="E10" s="96"/>
      <c r="F10" s="96"/>
      <c r="G10" s="96"/>
      <c r="H10" s="134" t="s">
        <v>40</v>
      </c>
      <c r="I10" s="14" t="s">
        <v>51</v>
      </c>
    </row>
    <row r="11" spans="1:9" x14ac:dyDescent="0.3">
      <c r="A11" s="159"/>
      <c r="B11" s="5">
        <v>0.6</v>
      </c>
      <c r="C11" s="3"/>
      <c r="D11" s="3"/>
      <c r="E11"/>
      <c r="F11"/>
      <c r="G11"/>
      <c r="H11" s="71" t="s">
        <v>35</v>
      </c>
      <c r="I11" s="14" t="s">
        <v>54</v>
      </c>
    </row>
    <row r="12" spans="1:9" x14ac:dyDescent="0.3">
      <c r="A12" s="159"/>
      <c r="B12" s="5">
        <v>2</v>
      </c>
      <c r="C12" s="3"/>
      <c r="D12" s="3"/>
      <c r="E12"/>
      <c r="F12"/>
      <c r="G12"/>
      <c r="H12" s="71" t="s">
        <v>36</v>
      </c>
      <c r="I12" s="10" t="s">
        <v>52</v>
      </c>
    </row>
    <row r="13" spans="1:9" x14ac:dyDescent="0.3">
      <c r="A13" s="159"/>
      <c r="B13" s="5">
        <v>2</v>
      </c>
      <c r="C13" s="3"/>
      <c r="D13" s="3"/>
      <c r="E13"/>
      <c r="F13"/>
      <c r="G13"/>
      <c r="H13" s="71" t="s">
        <v>37</v>
      </c>
      <c r="I13" s="10" t="s">
        <v>55</v>
      </c>
    </row>
    <row r="14" spans="1:9" x14ac:dyDescent="0.3">
      <c r="A14" s="159"/>
      <c r="B14" s="5">
        <v>1</v>
      </c>
      <c r="C14" s="3"/>
      <c r="D14" s="3"/>
      <c r="E14"/>
      <c r="F14"/>
      <c r="G14"/>
      <c r="H14" s="71" t="s">
        <v>38</v>
      </c>
      <c r="I14" s="10" t="s">
        <v>53</v>
      </c>
    </row>
    <row r="15" spans="1:9" x14ac:dyDescent="0.3">
      <c r="A15" s="160"/>
      <c r="B15" s="5">
        <v>1</v>
      </c>
      <c r="C15" s="3"/>
      <c r="D15" s="3"/>
      <c r="E15"/>
      <c r="F15"/>
      <c r="G15"/>
      <c r="H15" s="71" t="s">
        <v>39</v>
      </c>
      <c r="I15" s="10" t="s">
        <v>56</v>
      </c>
    </row>
    <row r="16" spans="1:9" x14ac:dyDescent="0.3">
      <c r="A16" s="60" t="s">
        <v>30</v>
      </c>
      <c r="B16" s="5">
        <v>1</v>
      </c>
      <c r="C16" s="5">
        <v>0</v>
      </c>
      <c r="D16" s="5">
        <v>0</v>
      </c>
      <c r="E16"/>
      <c r="F16"/>
      <c r="G16"/>
      <c r="H16" s="71" t="s">
        <v>41</v>
      </c>
      <c r="I16" s="10" t="s">
        <v>50</v>
      </c>
    </row>
    <row r="17" spans="1:9" x14ac:dyDescent="0.3">
      <c r="A17" s="60"/>
      <c r="B17" s="5">
        <v>-1</v>
      </c>
      <c r="C17" s="5">
        <v>0</v>
      </c>
      <c r="D17" s="5">
        <v>0</v>
      </c>
      <c r="E17"/>
      <c r="F17"/>
      <c r="G17"/>
      <c r="H17" s="71"/>
      <c r="I17" s="10" t="s">
        <v>57</v>
      </c>
    </row>
    <row r="18" spans="1:9" x14ac:dyDescent="0.3">
      <c r="A18" s="60"/>
      <c r="B18" s="5">
        <v>0</v>
      </c>
      <c r="C18" s="5">
        <v>1</v>
      </c>
      <c r="D18" s="5">
        <v>0</v>
      </c>
      <c r="E18"/>
      <c r="F18"/>
      <c r="G18"/>
      <c r="H18" s="71"/>
      <c r="I18" s="10" t="s">
        <v>58</v>
      </c>
    </row>
    <row r="19" spans="1:9" x14ac:dyDescent="0.3">
      <c r="A19" s="60"/>
      <c r="B19" s="5">
        <v>0</v>
      </c>
      <c r="C19" s="5">
        <v>-1</v>
      </c>
      <c r="D19" s="5">
        <v>0</v>
      </c>
      <c r="E19"/>
      <c r="F19"/>
      <c r="G19"/>
      <c r="H19" s="71"/>
      <c r="I19" s="10" t="s">
        <v>59</v>
      </c>
    </row>
    <row r="20" spans="1:9" x14ac:dyDescent="0.3">
      <c r="A20" s="60"/>
      <c r="B20" s="5">
        <v>0</v>
      </c>
      <c r="C20" s="5">
        <v>0</v>
      </c>
      <c r="D20" s="5">
        <v>1</v>
      </c>
      <c r="E20"/>
      <c r="F20"/>
      <c r="G20"/>
      <c r="H20" s="71"/>
      <c r="I20" s="10" t="s">
        <v>60</v>
      </c>
    </row>
    <row r="21" spans="1:9" x14ac:dyDescent="0.3">
      <c r="A21" s="60"/>
      <c r="B21" s="5">
        <v>0</v>
      </c>
      <c r="C21" s="5">
        <v>0</v>
      </c>
      <c r="D21" s="5">
        <v>-1</v>
      </c>
      <c r="E21"/>
      <c r="F21"/>
      <c r="G21"/>
      <c r="H21" s="71"/>
      <c r="I21" s="10" t="s">
        <v>61</v>
      </c>
    </row>
    <row r="22" spans="1:9" x14ac:dyDescent="0.3">
      <c r="A22" s="60" t="s">
        <v>31</v>
      </c>
      <c r="B22" s="5">
        <v>0.7</v>
      </c>
      <c r="C22" s="5">
        <v>0</v>
      </c>
      <c r="D22" s="5">
        <v>0.4</v>
      </c>
      <c r="E22"/>
      <c r="F22"/>
      <c r="G22"/>
      <c r="H22" s="71" t="s">
        <v>32</v>
      </c>
      <c r="I22" s="10" t="s">
        <v>62</v>
      </c>
    </row>
    <row r="23" spans="1:9" x14ac:dyDescent="0.3">
      <c r="A23" s="60"/>
      <c r="B23" s="5">
        <v>-0.7</v>
      </c>
      <c r="C23" s="5">
        <v>0</v>
      </c>
      <c r="D23" s="5">
        <v>0.4</v>
      </c>
      <c r="E23"/>
      <c r="F23"/>
      <c r="G23"/>
      <c r="H23" s="71"/>
      <c r="I23" s="10" t="s">
        <v>63</v>
      </c>
    </row>
    <row r="24" spans="1:9" x14ac:dyDescent="0.3">
      <c r="A24" s="60"/>
      <c r="B24" s="5">
        <v>0</v>
      </c>
      <c r="C24" s="5">
        <v>0.6</v>
      </c>
      <c r="D24" s="5">
        <v>0.4</v>
      </c>
      <c r="E24"/>
      <c r="F24"/>
      <c r="G24"/>
      <c r="H24" s="71"/>
      <c r="I24" s="10" t="s">
        <v>64</v>
      </c>
    </row>
    <row r="25" spans="1:9" x14ac:dyDescent="0.3">
      <c r="A25" s="60"/>
      <c r="B25" s="5">
        <v>0</v>
      </c>
      <c r="C25" s="5">
        <v>0.6</v>
      </c>
      <c r="D25" s="5">
        <v>-0.4</v>
      </c>
      <c r="E25"/>
      <c r="F25"/>
      <c r="G25"/>
      <c r="H25" s="71"/>
      <c r="I25" s="10" t="s">
        <v>65</v>
      </c>
    </row>
    <row r="26" spans="1:9" x14ac:dyDescent="0.3">
      <c r="A26" s="60"/>
      <c r="B26" s="5">
        <v>0</v>
      </c>
      <c r="C26" s="5">
        <v>0</v>
      </c>
      <c r="D26" s="5">
        <v>0.8</v>
      </c>
      <c r="E26"/>
      <c r="F26"/>
      <c r="G26"/>
      <c r="H26" s="71"/>
      <c r="I26" s="10" t="s">
        <v>66</v>
      </c>
    </row>
    <row r="27" spans="1:9" ht="14.5" thickBot="1" x14ac:dyDescent="0.35">
      <c r="A27" s="70"/>
      <c r="B27" s="107">
        <v>0</v>
      </c>
      <c r="C27" s="107">
        <v>0</v>
      </c>
      <c r="D27" s="107">
        <v>0</v>
      </c>
      <c r="E27" s="49"/>
      <c r="F27" s="49"/>
      <c r="G27" s="49"/>
      <c r="H27" s="98"/>
      <c r="I27" s="11" t="s">
        <v>67</v>
      </c>
    </row>
    <row r="28" spans="1:9" x14ac:dyDescent="0.3">
      <c r="E28" s="7"/>
      <c r="F28" s="7"/>
      <c r="G28" s="7"/>
    </row>
    <row r="29" spans="1:9" x14ac:dyDescent="0.3">
      <c r="E29" s="7"/>
      <c r="F29" s="7"/>
      <c r="G29" s="7"/>
    </row>
  </sheetData>
  <mergeCells count="7">
    <mergeCell ref="A10:A15"/>
    <mergeCell ref="E1:G1"/>
    <mergeCell ref="B1:D1"/>
    <mergeCell ref="A7:A9"/>
    <mergeCell ref="I7:I9"/>
    <mergeCell ref="I4:I5"/>
    <mergeCell ref="A4:A5"/>
  </mergeCells>
  <phoneticPr fontId="1" type="noConversion"/>
  <conditionalFormatting sqref="B1:G9 B10:D27">
    <cfRule type="containsBlanks" dxfId="15" priority="3">
      <formula>LEN(TRIM(B1))=0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5"/>
  <sheetViews>
    <sheetView zoomScaleNormal="100" workbookViewId="0">
      <selection activeCell="B24" sqref="B24"/>
    </sheetView>
  </sheetViews>
  <sheetFormatPr defaultColWidth="9.08203125" defaultRowHeight="14" x14ac:dyDescent="0.3"/>
  <cols>
    <col min="1" max="1" width="17.75" style="1" bestFit="1" customWidth="1"/>
    <col min="2" max="4" width="10" style="2" bestFit="1" customWidth="1"/>
    <col min="5" max="6" width="3" style="2" bestFit="1" customWidth="1"/>
    <col min="7" max="7" width="4" style="2" bestFit="1" customWidth="1"/>
    <col min="8" max="8" width="60.75" style="1" bestFit="1" customWidth="1"/>
    <col min="9" max="9" width="25.58203125" style="1" bestFit="1" customWidth="1"/>
    <col min="10" max="16384" width="9.08203125" style="1"/>
  </cols>
  <sheetData>
    <row r="1" spans="1:9" x14ac:dyDescent="0.3">
      <c r="A1" s="59" t="s">
        <v>14</v>
      </c>
      <c r="B1" s="179" t="s">
        <v>24</v>
      </c>
      <c r="C1" s="175"/>
      <c r="D1" s="180"/>
      <c r="E1" s="179" t="s">
        <v>23</v>
      </c>
      <c r="F1" s="175"/>
      <c r="G1" s="180"/>
      <c r="H1" s="139" t="s">
        <v>246</v>
      </c>
      <c r="I1" s="9" t="s">
        <v>45</v>
      </c>
    </row>
    <row r="2" spans="1:9" x14ac:dyDescent="0.3">
      <c r="A2" s="60" t="s">
        <v>0</v>
      </c>
      <c r="B2" s="4">
        <v>0</v>
      </c>
      <c r="C2" s="4"/>
      <c r="D2" s="4"/>
      <c r="E2" s="4">
        <v>0</v>
      </c>
      <c r="F2" s="4"/>
      <c r="G2" s="4"/>
      <c r="H2" s="61" t="s">
        <v>271</v>
      </c>
      <c r="I2" s="14" t="s">
        <v>47</v>
      </c>
    </row>
    <row r="3" spans="1:9" x14ac:dyDescent="0.3">
      <c r="A3" s="60" t="s">
        <v>1</v>
      </c>
      <c r="B3" s="4">
        <v>0.1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61" t="s">
        <v>10</v>
      </c>
      <c r="I3" s="14" t="s">
        <v>68</v>
      </c>
    </row>
    <row r="4" spans="1:9" ht="28" x14ac:dyDescent="0.3">
      <c r="A4" s="165" t="s">
        <v>3</v>
      </c>
      <c r="B4" s="4">
        <v>0</v>
      </c>
      <c r="C4" s="4">
        <v>0</v>
      </c>
      <c r="D4" s="4">
        <v>0</v>
      </c>
      <c r="E4" s="6">
        <v>0</v>
      </c>
      <c r="F4" s="6">
        <v>0</v>
      </c>
      <c r="G4" s="6">
        <v>0</v>
      </c>
      <c r="H4" s="62" t="s">
        <v>11</v>
      </c>
      <c r="I4" s="164" t="s">
        <v>69</v>
      </c>
    </row>
    <row r="5" spans="1:9" ht="28" x14ac:dyDescent="0.3">
      <c r="A5" s="165"/>
      <c r="B5" s="4">
        <v>0</v>
      </c>
      <c r="C5" s="4">
        <v>0</v>
      </c>
      <c r="D5" s="4">
        <v>0</v>
      </c>
      <c r="E5" s="6">
        <v>0</v>
      </c>
      <c r="F5" s="6">
        <v>0</v>
      </c>
      <c r="G5" s="6">
        <v>0</v>
      </c>
      <c r="H5" s="106" t="s">
        <v>276</v>
      </c>
      <c r="I5" s="164"/>
    </row>
    <row r="6" spans="1:9" ht="28" x14ac:dyDescent="0.3">
      <c r="A6" s="63" t="s">
        <v>4</v>
      </c>
      <c r="B6" s="4">
        <v>0</v>
      </c>
      <c r="C6" s="4">
        <v>0.38300000000000001</v>
      </c>
      <c r="D6" s="4">
        <v>0.49199999999999999</v>
      </c>
      <c r="E6" s="6">
        <v>0</v>
      </c>
      <c r="F6" s="6">
        <v>0</v>
      </c>
      <c r="G6" s="6">
        <v>0</v>
      </c>
      <c r="H6" s="62" t="s">
        <v>12</v>
      </c>
      <c r="I6" s="14" t="s">
        <v>73</v>
      </c>
    </row>
    <row r="7" spans="1:9" x14ac:dyDescent="0.3">
      <c r="A7" s="166" t="s">
        <v>5</v>
      </c>
      <c r="B7" s="4">
        <v>0</v>
      </c>
      <c r="C7" s="4">
        <v>1</v>
      </c>
      <c r="D7" s="4">
        <v>0</v>
      </c>
      <c r="E7" s="4">
        <v>0</v>
      </c>
      <c r="F7" s="4">
        <v>1</v>
      </c>
      <c r="G7" s="4">
        <v>0</v>
      </c>
      <c r="H7" s="167" t="s">
        <v>8</v>
      </c>
      <c r="I7" s="164" t="s">
        <v>74</v>
      </c>
    </row>
    <row r="8" spans="1:9" x14ac:dyDescent="0.3">
      <c r="A8" s="166"/>
      <c r="B8" s="4">
        <v>1</v>
      </c>
      <c r="C8" s="4">
        <v>0</v>
      </c>
      <c r="D8" s="4">
        <v>0</v>
      </c>
      <c r="E8" s="4">
        <v>1</v>
      </c>
      <c r="F8" s="4">
        <v>0</v>
      </c>
      <c r="G8" s="4">
        <v>0</v>
      </c>
      <c r="H8" s="168"/>
      <c r="I8" s="164"/>
    </row>
    <row r="9" spans="1:9" ht="14.5" thickBot="1" x14ac:dyDescent="0.35">
      <c r="A9" s="162"/>
      <c r="B9" s="67">
        <v>0</v>
      </c>
      <c r="C9" s="67">
        <v>0</v>
      </c>
      <c r="D9" s="67">
        <v>-1</v>
      </c>
      <c r="E9" s="67">
        <v>0</v>
      </c>
      <c r="F9" s="67">
        <v>0</v>
      </c>
      <c r="G9" s="67">
        <v>-1</v>
      </c>
      <c r="H9" s="169"/>
      <c r="I9" s="164"/>
    </row>
    <row r="10" spans="1:9" x14ac:dyDescent="0.3">
      <c r="A10" s="59" t="s">
        <v>13</v>
      </c>
      <c r="B10" s="179" t="s">
        <v>24</v>
      </c>
      <c r="C10" s="175"/>
      <c r="D10" s="180"/>
      <c r="E10" s="179" t="s">
        <v>23</v>
      </c>
      <c r="F10" s="175"/>
      <c r="G10" s="180"/>
      <c r="H10" s="68"/>
      <c r="I10" s="69"/>
    </row>
    <row r="11" spans="1:9" x14ac:dyDescent="0.3">
      <c r="A11" s="60" t="s">
        <v>0</v>
      </c>
      <c r="B11" s="4">
        <v>0</v>
      </c>
      <c r="C11" s="4"/>
      <c r="D11" s="4"/>
      <c r="E11" s="4">
        <v>0</v>
      </c>
      <c r="F11" s="4"/>
      <c r="G11" s="4"/>
      <c r="H11" s="8" t="s">
        <v>272</v>
      </c>
      <c r="I11" s="14" t="s">
        <v>70</v>
      </c>
    </row>
    <row r="12" spans="1:9" x14ac:dyDescent="0.3">
      <c r="A12" s="60" t="s">
        <v>1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8" t="s">
        <v>221</v>
      </c>
      <c r="I12" s="14" t="s">
        <v>71</v>
      </c>
    </row>
    <row r="13" spans="1:9" ht="28" x14ac:dyDescent="0.3">
      <c r="A13" s="165" t="s">
        <v>2</v>
      </c>
      <c r="B13" s="4">
        <v>0</v>
      </c>
      <c r="C13" s="4">
        <v>0</v>
      </c>
      <c r="D13" s="4">
        <v>0</v>
      </c>
      <c r="E13" s="6">
        <v>0</v>
      </c>
      <c r="F13" s="6">
        <v>0</v>
      </c>
      <c r="G13" s="6">
        <v>0</v>
      </c>
      <c r="H13" s="12" t="s">
        <v>224</v>
      </c>
      <c r="I13" s="164" t="s">
        <v>72</v>
      </c>
    </row>
    <row r="14" spans="1:9" ht="28" x14ac:dyDescent="0.3">
      <c r="A14" s="165"/>
      <c r="B14" s="4">
        <v>0</v>
      </c>
      <c r="C14" s="4">
        <v>0</v>
      </c>
      <c r="D14" s="4">
        <v>0</v>
      </c>
      <c r="E14" s="6">
        <v>0</v>
      </c>
      <c r="F14" s="6">
        <v>0</v>
      </c>
      <c r="G14" s="6">
        <v>0</v>
      </c>
      <c r="H14" s="106" t="s">
        <v>276</v>
      </c>
      <c r="I14" s="164"/>
    </row>
    <row r="15" spans="1:9" x14ac:dyDescent="0.3">
      <c r="A15" s="63" t="s">
        <v>4</v>
      </c>
      <c r="B15" s="4">
        <v>0.2</v>
      </c>
      <c r="C15" s="4">
        <v>0</v>
      </c>
      <c r="D15" s="4">
        <v>1.3440000000000001E-2</v>
      </c>
      <c r="E15" s="6">
        <v>0</v>
      </c>
      <c r="F15" s="6">
        <v>0</v>
      </c>
      <c r="G15" s="6">
        <v>0</v>
      </c>
      <c r="H15" s="12" t="s">
        <v>226</v>
      </c>
      <c r="I15" s="14" t="s">
        <v>218</v>
      </c>
    </row>
    <row r="16" spans="1:9" x14ac:dyDescent="0.3">
      <c r="A16" s="166" t="s">
        <v>5</v>
      </c>
      <c r="B16" s="3">
        <v>1</v>
      </c>
      <c r="C16" s="3">
        <v>0</v>
      </c>
      <c r="D16" s="3">
        <v>0</v>
      </c>
      <c r="E16" s="3">
        <v>1</v>
      </c>
      <c r="F16" s="3">
        <v>0</v>
      </c>
      <c r="G16" s="3">
        <v>0</v>
      </c>
      <c r="H16" s="171" t="s">
        <v>225</v>
      </c>
      <c r="I16" s="164" t="s">
        <v>219</v>
      </c>
    </row>
    <row r="17" spans="1:9" x14ac:dyDescent="0.3">
      <c r="A17" s="166"/>
      <c r="B17" s="3">
        <v>0</v>
      </c>
      <c r="C17" s="3">
        <v>1</v>
      </c>
      <c r="D17" s="3">
        <v>0</v>
      </c>
      <c r="E17" s="3">
        <v>0</v>
      </c>
      <c r="F17" s="3">
        <v>1</v>
      </c>
      <c r="G17" s="3">
        <v>0</v>
      </c>
      <c r="H17" s="172"/>
      <c r="I17" s="164"/>
    </row>
    <row r="18" spans="1:9" ht="14.5" thickBot="1" x14ac:dyDescent="0.35">
      <c r="A18" s="170"/>
      <c r="B18" s="65">
        <v>0</v>
      </c>
      <c r="C18" s="65">
        <v>0</v>
      </c>
      <c r="D18" s="65">
        <v>1</v>
      </c>
      <c r="E18" s="65">
        <v>0</v>
      </c>
      <c r="F18" s="65">
        <v>0</v>
      </c>
      <c r="G18" s="65">
        <v>1</v>
      </c>
      <c r="H18" s="173"/>
      <c r="I18" s="164"/>
    </row>
    <row r="19" spans="1:9" x14ac:dyDescent="0.3">
      <c r="A19" s="174" t="s">
        <v>216</v>
      </c>
      <c r="B19" s="175"/>
      <c r="C19" s="175"/>
      <c r="D19" s="176"/>
      <c r="E19"/>
      <c r="F19"/>
      <c r="G19"/>
      <c r="H19" s="64"/>
      <c r="I19" s="14"/>
    </row>
    <row r="20" spans="1:9" x14ac:dyDescent="0.3">
      <c r="A20" s="44" t="s">
        <v>33</v>
      </c>
      <c r="B20" s="4">
        <v>0</v>
      </c>
      <c r="C20" s="4"/>
      <c r="D20" s="101"/>
      <c r="E20"/>
      <c r="F20"/>
      <c r="G20"/>
      <c r="H20" s="117" t="s">
        <v>222</v>
      </c>
      <c r="I20" s="10" t="s">
        <v>75</v>
      </c>
    </row>
    <row r="21" spans="1:9" x14ac:dyDescent="0.3">
      <c r="A21" s="44" t="s">
        <v>34</v>
      </c>
      <c r="B21" s="4">
        <v>0</v>
      </c>
      <c r="C21" s="4">
        <v>0</v>
      </c>
      <c r="D21" s="101">
        <v>1</v>
      </c>
      <c r="E21"/>
      <c r="F21"/>
      <c r="G21"/>
      <c r="H21" s="121" t="s">
        <v>42</v>
      </c>
      <c r="I21" s="10" t="s">
        <v>76</v>
      </c>
    </row>
    <row r="22" spans="1:9" ht="14.5" thickBot="1" x14ac:dyDescent="0.35">
      <c r="A22" s="51" t="s">
        <v>44</v>
      </c>
      <c r="B22" s="66">
        <v>1.2922899999999999</v>
      </c>
      <c r="C22" s="66">
        <v>0</v>
      </c>
      <c r="D22" s="103">
        <v>0</v>
      </c>
      <c r="E22"/>
      <c r="F22"/>
      <c r="G22"/>
      <c r="H22" s="122" t="s">
        <v>43</v>
      </c>
      <c r="I22" s="10" t="s">
        <v>77</v>
      </c>
    </row>
    <row r="23" spans="1:9" x14ac:dyDescent="0.3">
      <c r="A23" s="181" t="s">
        <v>208</v>
      </c>
      <c r="B23" s="161"/>
      <c r="C23" s="161"/>
      <c r="D23" s="182"/>
      <c r="E23" s="1"/>
      <c r="F23" s="1"/>
      <c r="G23" s="1"/>
      <c r="H23" s="71"/>
      <c r="I23" s="10"/>
    </row>
    <row r="24" spans="1:9" x14ac:dyDescent="0.3">
      <c r="A24" s="44" t="s">
        <v>213</v>
      </c>
      <c r="B24" s="4">
        <v>0</v>
      </c>
      <c r="C24" s="100"/>
      <c r="D24" s="72"/>
      <c r="H24" s="117" t="s">
        <v>21</v>
      </c>
      <c r="I24" s="10" t="s">
        <v>81</v>
      </c>
    </row>
    <row r="25" spans="1:9" x14ac:dyDescent="0.3">
      <c r="A25" s="162" t="s">
        <v>20</v>
      </c>
      <c r="B25" s="99">
        <v>1</v>
      </c>
      <c r="C25" s="115"/>
      <c r="D25" s="116"/>
      <c r="H25" s="169" t="s">
        <v>223</v>
      </c>
      <c r="I25" s="183" t="s">
        <v>78</v>
      </c>
    </row>
    <row r="26" spans="1:9" x14ac:dyDescent="0.3">
      <c r="A26" s="159"/>
      <c r="B26" s="99">
        <v>2</v>
      </c>
      <c r="C26" s="115"/>
      <c r="D26" s="116"/>
      <c r="H26" s="177"/>
      <c r="I26" s="183"/>
    </row>
    <row r="27" spans="1:9" x14ac:dyDescent="0.3">
      <c r="A27" s="159"/>
      <c r="B27" s="99">
        <v>3</v>
      </c>
      <c r="C27" s="115"/>
      <c r="D27" s="116"/>
      <c r="H27" s="177"/>
      <c r="I27" s="183"/>
    </row>
    <row r="28" spans="1:9" x14ac:dyDescent="0.3">
      <c r="A28" s="159"/>
      <c r="B28" s="99">
        <v>4</v>
      </c>
      <c r="C28" s="115"/>
      <c r="D28" s="116"/>
      <c r="H28" s="177"/>
      <c r="I28" s="183"/>
    </row>
    <row r="29" spans="1:9" x14ac:dyDescent="0.3">
      <c r="A29" s="159"/>
      <c r="B29" s="99">
        <v>5</v>
      </c>
      <c r="C29" s="115"/>
      <c r="D29" s="116"/>
      <c r="H29" s="177"/>
      <c r="I29" s="183"/>
    </row>
    <row r="30" spans="1:9" x14ac:dyDescent="0.3">
      <c r="A30" s="160"/>
      <c r="B30" s="99">
        <v>6</v>
      </c>
      <c r="C30" s="115"/>
      <c r="D30" s="116"/>
      <c r="H30" s="178"/>
      <c r="I30" s="183"/>
    </row>
    <row r="31" spans="1:9" x14ac:dyDescent="0.3">
      <c r="A31" s="44" t="s">
        <v>19</v>
      </c>
      <c r="B31" s="4">
        <v>0.14280000000000001</v>
      </c>
      <c r="C31" s="4"/>
      <c r="D31" s="101"/>
      <c r="H31" s="13" t="s">
        <v>16</v>
      </c>
      <c r="I31" s="183" t="s">
        <v>80</v>
      </c>
    </row>
    <row r="32" spans="1:9" x14ac:dyDescent="0.3">
      <c r="A32" s="44"/>
      <c r="B32" s="4">
        <v>0.27489999999999998</v>
      </c>
      <c r="C32" s="4"/>
      <c r="D32" s="101"/>
      <c r="H32" s="13" t="s">
        <v>17</v>
      </c>
      <c r="I32" s="183"/>
    </row>
    <row r="33" spans="1:9" x14ac:dyDescent="0.3">
      <c r="A33" s="44"/>
      <c r="B33" s="4">
        <v>0.81040000000000001</v>
      </c>
      <c r="C33" s="4"/>
      <c r="D33" s="101"/>
      <c r="H33" s="13" t="s">
        <v>18</v>
      </c>
      <c r="I33" s="183"/>
    </row>
    <row r="34" spans="1:9" x14ac:dyDescent="0.3">
      <c r="A34" s="44"/>
      <c r="B34" s="4">
        <v>1.0510999999999999</v>
      </c>
      <c r="C34" s="4"/>
      <c r="D34" s="101"/>
      <c r="H34" s="13" t="s">
        <v>16</v>
      </c>
      <c r="I34" s="183"/>
    </row>
    <row r="35" spans="1:9" x14ac:dyDescent="0.3">
      <c r="A35" s="44"/>
      <c r="B35" s="4">
        <v>2.5083000000000002</v>
      </c>
      <c r="C35" s="4"/>
      <c r="D35" s="101"/>
      <c r="H35" s="13" t="s">
        <v>18</v>
      </c>
      <c r="I35" s="183"/>
    </row>
    <row r="36" spans="1:9" x14ac:dyDescent="0.3">
      <c r="A36" s="44"/>
      <c r="B36" s="4">
        <v>2.6345000000000001</v>
      </c>
      <c r="C36" s="4"/>
      <c r="D36" s="101"/>
      <c r="H36" s="13" t="s">
        <v>17</v>
      </c>
      <c r="I36" s="183"/>
    </row>
    <row r="37" spans="1:9" x14ac:dyDescent="0.3">
      <c r="A37" s="44" t="s">
        <v>79</v>
      </c>
      <c r="B37" s="3">
        <v>5.0000000000000001E-3</v>
      </c>
      <c r="C37" s="3"/>
      <c r="D37" s="102"/>
      <c r="E37" s="7"/>
      <c r="F37" s="7"/>
      <c r="G37" s="7"/>
      <c r="H37" s="13"/>
      <c r="I37" s="183" t="s">
        <v>82</v>
      </c>
    </row>
    <row r="38" spans="1:9" x14ac:dyDescent="0.3">
      <c r="A38" s="44"/>
      <c r="B38" s="3">
        <v>5.0000000000000001E-3</v>
      </c>
      <c r="C38" s="3"/>
      <c r="D38" s="102"/>
      <c r="E38" s="7"/>
      <c r="F38" s="7"/>
      <c r="G38" s="7"/>
      <c r="H38" s="13"/>
      <c r="I38" s="183"/>
    </row>
    <row r="39" spans="1:9" x14ac:dyDescent="0.3">
      <c r="A39" s="44"/>
      <c r="B39" s="3">
        <v>5.0000000000000001E-3</v>
      </c>
      <c r="C39" s="3"/>
      <c r="D39" s="102"/>
      <c r="E39" s="7"/>
      <c r="F39" s="7"/>
      <c r="G39" s="7"/>
      <c r="H39" s="13"/>
      <c r="I39" s="183"/>
    </row>
    <row r="40" spans="1:9" x14ac:dyDescent="0.3">
      <c r="A40" s="44"/>
      <c r="B40" s="3">
        <v>5.0000000000000001E-3</v>
      </c>
      <c r="C40" s="3"/>
      <c r="D40" s="102"/>
      <c r="E40" s="7"/>
      <c r="F40" s="7"/>
      <c r="G40" s="7"/>
      <c r="H40" s="13"/>
      <c r="I40" s="183"/>
    </row>
    <row r="41" spans="1:9" x14ac:dyDescent="0.3">
      <c r="A41" s="44"/>
      <c r="B41" s="3">
        <v>5.0000000000000001E-3</v>
      </c>
      <c r="C41" s="3"/>
      <c r="D41" s="102"/>
      <c r="E41" s="7"/>
      <c r="F41" s="7"/>
      <c r="G41" s="7"/>
      <c r="H41" s="13"/>
      <c r="I41" s="183"/>
    </row>
    <row r="42" spans="1:9" x14ac:dyDescent="0.3">
      <c r="A42" s="44"/>
      <c r="B42" s="3">
        <v>5.0000000000000001E-3</v>
      </c>
      <c r="C42" s="3"/>
      <c r="D42" s="102"/>
      <c r="E42" s="7"/>
      <c r="F42" s="7"/>
      <c r="G42" s="7"/>
      <c r="H42" s="13"/>
      <c r="I42" s="183"/>
    </row>
    <row r="43" spans="1:9" x14ac:dyDescent="0.3">
      <c r="A43" s="60" t="s">
        <v>9</v>
      </c>
      <c r="B43" s="4">
        <v>0</v>
      </c>
      <c r="C43" s="4">
        <v>0</v>
      </c>
      <c r="D43" s="101">
        <v>0</v>
      </c>
      <c r="H43" s="8"/>
      <c r="I43" s="183" t="s">
        <v>83</v>
      </c>
    </row>
    <row r="44" spans="1:9" x14ac:dyDescent="0.3">
      <c r="A44" s="60"/>
      <c r="B44" s="4">
        <v>0</v>
      </c>
      <c r="C44" s="4">
        <v>0</v>
      </c>
      <c r="D44" s="101">
        <v>0</v>
      </c>
      <c r="H44" s="8"/>
      <c r="I44" s="183"/>
    </row>
    <row r="45" spans="1:9" x14ac:dyDescent="0.3">
      <c r="A45" s="60"/>
      <c r="B45" s="4">
        <v>0</v>
      </c>
      <c r="C45" s="4">
        <v>0</v>
      </c>
      <c r="D45" s="101">
        <v>0</v>
      </c>
      <c r="H45" s="8"/>
      <c r="I45" s="183"/>
    </row>
    <row r="46" spans="1:9" x14ac:dyDescent="0.3">
      <c r="A46" s="60"/>
      <c r="B46" s="4">
        <v>0</v>
      </c>
      <c r="C46" s="4">
        <v>0</v>
      </c>
      <c r="D46" s="101">
        <v>0</v>
      </c>
      <c r="H46" s="8"/>
      <c r="I46" s="183"/>
    </row>
    <row r="47" spans="1:9" x14ac:dyDescent="0.3">
      <c r="A47" s="60"/>
      <c r="B47" s="4">
        <v>0</v>
      </c>
      <c r="C47" s="4">
        <v>0</v>
      </c>
      <c r="D47" s="101">
        <v>0</v>
      </c>
      <c r="H47" s="8"/>
      <c r="I47" s="183"/>
    </row>
    <row r="48" spans="1:9" x14ac:dyDescent="0.3">
      <c r="A48" s="60"/>
      <c r="B48" s="4">
        <v>0</v>
      </c>
      <c r="C48" s="4">
        <v>0</v>
      </c>
      <c r="D48" s="101">
        <v>0</v>
      </c>
      <c r="H48" s="8"/>
      <c r="I48" s="183"/>
    </row>
    <row r="49" spans="1:9" x14ac:dyDescent="0.3">
      <c r="A49" s="60" t="s">
        <v>15</v>
      </c>
      <c r="B49" s="4">
        <v>0</v>
      </c>
      <c r="C49" s="4">
        <v>0</v>
      </c>
      <c r="D49" s="101">
        <v>0</v>
      </c>
      <c r="H49" s="8"/>
      <c r="I49" s="183" t="s">
        <v>84</v>
      </c>
    </row>
    <row r="50" spans="1:9" x14ac:dyDescent="0.3">
      <c r="A50" s="60"/>
      <c r="B50" s="4">
        <v>0</v>
      </c>
      <c r="C50" s="4">
        <v>0</v>
      </c>
      <c r="D50" s="101">
        <v>0</v>
      </c>
      <c r="H50" s="8"/>
      <c r="I50" s="183"/>
    </row>
    <row r="51" spans="1:9" x14ac:dyDescent="0.3">
      <c r="A51" s="60"/>
      <c r="B51" s="4">
        <v>0</v>
      </c>
      <c r="C51" s="4">
        <v>0</v>
      </c>
      <c r="D51" s="101">
        <v>0</v>
      </c>
      <c r="H51" s="8"/>
      <c r="I51" s="183"/>
    </row>
    <row r="52" spans="1:9" x14ac:dyDescent="0.3">
      <c r="A52" s="60"/>
      <c r="B52" s="4">
        <v>0</v>
      </c>
      <c r="C52" s="4">
        <v>0</v>
      </c>
      <c r="D52" s="101">
        <v>0</v>
      </c>
      <c r="H52" s="8"/>
      <c r="I52" s="183"/>
    </row>
    <row r="53" spans="1:9" x14ac:dyDescent="0.3">
      <c r="A53" s="60"/>
      <c r="B53" s="4">
        <v>0</v>
      </c>
      <c r="C53" s="4">
        <v>0</v>
      </c>
      <c r="D53" s="101">
        <v>0</v>
      </c>
      <c r="H53" s="8"/>
      <c r="I53" s="183"/>
    </row>
    <row r="54" spans="1:9" ht="14.5" thickBot="1" x14ac:dyDescent="0.35">
      <c r="A54" s="70"/>
      <c r="B54" s="66">
        <v>0</v>
      </c>
      <c r="C54" s="66">
        <v>0</v>
      </c>
      <c r="D54" s="103">
        <v>0</v>
      </c>
      <c r="H54" s="104"/>
      <c r="I54" s="184"/>
    </row>
    <row r="55" spans="1:9" x14ac:dyDescent="0.3">
      <c r="H55" s="105"/>
    </row>
  </sheetData>
  <mergeCells count="23">
    <mergeCell ref="I31:I36"/>
    <mergeCell ref="I43:I48"/>
    <mergeCell ref="I49:I54"/>
    <mergeCell ref="I7:I9"/>
    <mergeCell ref="I4:I5"/>
    <mergeCell ref="I13:I14"/>
    <mergeCell ref="I16:I18"/>
    <mergeCell ref="I37:I42"/>
    <mergeCell ref="I25:I30"/>
    <mergeCell ref="E1:G1"/>
    <mergeCell ref="B1:D1"/>
    <mergeCell ref="E10:G10"/>
    <mergeCell ref="B10:D10"/>
    <mergeCell ref="A23:D23"/>
    <mergeCell ref="A25:A30"/>
    <mergeCell ref="A4:A5"/>
    <mergeCell ref="A7:A9"/>
    <mergeCell ref="H7:H9"/>
    <mergeCell ref="A13:A14"/>
    <mergeCell ref="A16:A18"/>
    <mergeCell ref="H16:H18"/>
    <mergeCell ref="A19:D19"/>
    <mergeCell ref="H25:H30"/>
  </mergeCells>
  <phoneticPr fontId="1" type="noConversion"/>
  <conditionalFormatting sqref="B20:D22">
    <cfRule type="containsBlanks" dxfId="14" priority="2">
      <formula>LEN(TRIM(B20))=0</formula>
    </cfRule>
  </conditionalFormatting>
  <conditionalFormatting sqref="B1:G18 B24:D54">
    <cfRule type="containsBlanks" dxfId="13" priority="1">
      <formula>LEN(TRIM(B1))=0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B311F-387A-485A-90A4-FB34CCF92109}">
  <dimension ref="A1:I55"/>
  <sheetViews>
    <sheetView zoomScaleNormal="100" workbookViewId="0">
      <selection activeCell="C14" sqref="C14"/>
    </sheetView>
  </sheetViews>
  <sheetFormatPr defaultColWidth="9.08203125" defaultRowHeight="14" x14ac:dyDescent="0.3"/>
  <cols>
    <col min="1" max="1" width="17.75" style="1" bestFit="1" customWidth="1"/>
    <col min="2" max="4" width="10" style="2" bestFit="1" customWidth="1"/>
    <col min="5" max="7" width="4" style="2" bestFit="1" customWidth="1"/>
    <col min="8" max="8" width="60.75" style="1" bestFit="1" customWidth="1"/>
    <col min="9" max="9" width="25.58203125" style="1" bestFit="1" customWidth="1"/>
    <col min="10" max="16384" width="9.08203125" style="1"/>
  </cols>
  <sheetData>
    <row r="1" spans="1:9" x14ac:dyDescent="0.3">
      <c r="A1" s="59" t="s">
        <v>14</v>
      </c>
      <c r="B1" s="179" t="s">
        <v>24</v>
      </c>
      <c r="C1" s="175"/>
      <c r="D1" s="180"/>
      <c r="E1" s="179" t="s">
        <v>23</v>
      </c>
      <c r="F1" s="175"/>
      <c r="G1" s="180"/>
      <c r="H1" s="139" t="s">
        <v>246</v>
      </c>
      <c r="I1" s="9" t="s">
        <v>45</v>
      </c>
    </row>
    <row r="2" spans="1:9" x14ac:dyDescent="0.3">
      <c r="A2" s="60" t="s">
        <v>0</v>
      </c>
      <c r="B2" s="4">
        <v>0</v>
      </c>
      <c r="C2" s="4"/>
      <c r="D2" s="4"/>
      <c r="E2" s="4">
        <v>0</v>
      </c>
      <c r="F2" s="4"/>
      <c r="G2" s="4"/>
      <c r="H2" s="61" t="s">
        <v>271</v>
      </c>
      <c r="I2" s="14" t="s">
        <v>85</v>
      </c>
    </row>
    <row r="3" spans="1:9" x14ac:dyDescent="0.3">
      <c r="A3" s="60" t="s">
        <v>1</v>
      </c>
      <c r="B3" s="4">
        <v>0.1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61" t="s">
        <v>10</v>
      </c>
      <c r="I3" s="14" t="s">
        <v>86</v>
      </c>
    </row>
    <row r="4" spans="1:9" ht="28" x14ac:dyDescent="0.3">
      <c r="A4" s="165" t="s">
        <v>2</v>
      </c>
      <c r="B4" s="4">
        <v>0</v>
      </c>
      <c r="C4" s="4">
        <v>0</v>
      </c>
      <c r="D4" s="4">
        <v>0</v>
      </c>
      <c r="E4" s="6">
        <v>0</v>
      </c>
      <c r="F4" s="6">
        <v>0</v>
      </c>
      <c r="G4" s="6">
        <v>0</v>
      </c>
      <c r="H4" s="62" t="s">
        <v>11</v>
      </c>
      <c r="I4" s="164" t="s">
        <v>87</v>
      </c>
    </row>
    <row r="5" spans="1:9" ht="28" x14ac:dyDescent="0.3">
      <c r="A5" s="165"/>
      <c r="B5" s="4">
        <v>0</v>
      </c>
      <c r="C5" s="4">
        <v>0</v>
      </c>
      <c r="D5" s="4">
        <v>0</v>
      </c>
      <c r="E5" s="6">
        <v>0</v>
      </c>
      <c r="F5" s="6">
        <v>0</v>
      </c>
      <c r="G5" s="6">
        <v>0</v>
      </c>
      <c r="H5" s="106" t="s">
        <v>276</v>
      </c>
      <c r="I5" s="164"/>
    </row>
    <row r="6" spans="1:9" ht="28" x14ac:dyDescent="0.3">
      <c r="A6" s="63" t="s">
        <v>4</v>
      </c>
      <c r="B6" s="4">
        <v>0</v>
      </c>
      <c r="C6" s="4">
        <v>-0.38300000000000001</v>
      </c>
      <c r="D6" s="4">
        <v>0.49199999999999999</v>
      </c>
      <c r="E6" s="6">
        <v>0</v>
      </c>
      <c r="F6" s="6">
        <v>0</v>
      </c>
      <c r="G6" s="6">
        <v>0</v>
      </c>
      <c r="H6" s="62" t="s">
        <v>12</v>
      </c>
      <c r="I6" s="14" t="s">
        <v>88</v>
      </c>
    </row>
    <row r="7" spans="1:9" x14ac:dyDescent="0.3">
      <c r="A7" s="166" t="s">
        <v>5</v>
      </c>
      <c r="B7" s="4">
        <v>0</v>
      </c>
      <c r="C7" s="4">
        <v>-1</v>
      </c>
      <c r="D7" s="4">
        <v>0</v>
      </c>
      <c r="E7" s="4">
        <v>0</v>
      </c>
      <c r="F7" s="4">
        <v>-1</v>
      </c>
      <c r="G7" s="4">
        <v>0</v>
      </c>
      <c r="H7" s="167" t="s">
        <v>8</v>
      </c>
      <c r="I7" s="164" t="s">
        <v>89</v>
      </c>
    </row>
    <row r="8" spans="1:9" x14ac:dyDescent="0.3">
      <c r="A8" s="166"/>
      <c r="B8" s="4">
        <v>-1</v>
      </c>
      <c r="C8" s="4">
        <v>0</v>
      </c>
      <c r="D8" s="4">
        <v>0</v>
      </c>
      <c r="E8" s="4">
        <v>-1</v>
      </c>
      <c r="F8" s="4">
        <v>0</v>
      </c>
      <c r="G8" s="4">
        <v>0</v>
      </c>
      <c r="H8" s="168"/>
      <c r="I8" s="164"/>
    </row>
    <row r="9" spans="1:9" ht="14.5" thickBot="1" x14ac:dyDescent="0.35">
      <c r="A9" s="170"/>
      <c r="B9" s="67">
        <v>0</v>
      </c>
      <c r="C9" s="67">
        <v>0</v>
      </c>
      <c r="D9" s="67">
        <v>-1</v>
      </c>
      <c r="E9" s="67">
        <v>0</v>
      </c>
      <c r="F9" s="67">
        <v>0</v>
      </c>
      <c r="G9" s="67">
        <v>-1</v>
      </c>
      <c r="H9" s="169"/>
      <c r="I9" s="164"/>
    </row>
    <row r="10" spans="1:9" x14ac:dyDescent="0.3">
      <c r="A10" s="59" t="s">
        <v>13</v>
      </c>
      <c r="B10" s="179" t="s">
        <v>24</v>
      </c>
      <c r="C10" s="175"/>
      <c r="D10" s="180"/>
      <c r="E10" s="179" t="s">
        <v>23</v>
      </c>
      <c r="F10" s="175"/>
      <c r="G10" s="180"/>
      <c r="H10" s="64"/>
      <c r="I10" s="69"/>
    </row>
    <row r="11" spans="1:9" x14ac:dyDescent="0.3">
      <c r="A11" s="60" t="s">
        <v>0</v>
      </c>
      <c r="B11" s="4">
        <v>0</v>
      </c>
      <c r="C11" s="4"/>
      <c r="D11" s="4"/>
      <c r="E11" s="4">
        <v>0</v>
      </c>
      <c r="F11" s="4"/>
      <c r="G11" s="4"/>
      <c r="H11" s="8" t="s">
        <v>272</v>
      </c>
      <c r="I11" s="14" t="s">
        <v>90</v>
      </c>
    </row>
    <row r="12" spans="1:9" x14ac:dyDescent="0.3">
      <c r="A12" s="60" t="s">
        <v>1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8" t="s">
        <v>221</v>
      </c>
      <c r="I12" s="14" t="s">
        <v>91</v>
      </c>
    </row>
    <row r="13" spans="1:9" ht="28" x14ac:dyDescent="0.3">
      <c r="A13" s="165" t="s">
        <v>2</v>
      </c>
      <c r="B13" s="4">
        <v>0</v>
      </c>
      <c r="C13" s="4">
        <v>0</v>
      </c>
      <c r="D13" s="4">
        <v>0</v>
      </c>
      <c r="E13" s="6">
        <v>0</v>
      </c>
      <c r="F13" s="6">
        <v>0</v>
      </c>
      <c r="G13" s="6">
        <v>0</v>
      </c>
      <c r="H13" s="12" t="s">
        <v>224</v>
      </c>
      <c r="I13" s="164" t="s">
        <v>92</v>
      </c>
    </row>
    <row r="14" spans="1:9" ht="28" x14ac:dyDescent="0.3">
      <c r="A14" s="165"/>
      <c r="B14" s="4">
        <v>0</v>
      </c>
      <c r="C14" s="4">
        <v>0</v>
      </c>
      <c r="D14" s="4">
        <v>0</v>
      </c>
      <c r="E14" s="6">
        <v>0</v>
      </c>
      <c r="F14" s="6">
        <v>0</v>
      </c>
      <c r="G14" s="6">
        <v>0</v>
      </c>
      <c r="H14" s="106" t="s">
        <v>276</v>
      </c>
      <c r="I14" s="164"/>
    </row>
    <row r="15" spans="1:9" x14ac:dyDescent="0.3">
      <c r="A15" s="63" t="s">
        <v>4</v>
      </c>
      <c r="B15" s="4">
        <v>0.2</v>
      </c>
      <c r="C15" s="4">
        <v>0</v>
      </c>
      <c r="D15" s="4">
        <v>1.3440000000000001E-2</v>
      </c>
      <c r="E15" s="6">
        <v>0</v>
      </c>
      <c r="F15" s="6">
        <v>0</v>
      </c>
      <c r="G15" s="6">
        <v>0</v>
      </c>
      <c r="H15" s="12" t="s">
        <v>226</v>
      </c>
      <c r="I15" s="14" t="s">
        <v>220</v>
      </c>
    </row>
    <row r="16" spans="1:9" x14ac:dyDescent="0.3">
      <c r="A16" s="166" t="s">
        <v>5</v>
      </c>
      <c r="B16" s="3">
        <v>1</v>
      </c>
      <c r="C16" s="3">
        <v>0</v>
      </c>
      <c r="D16" s="3">
        <v>0</v>
      </c>
      <c r="E16" s="3">
        <v>1</v>
      </c>
      <c r="F16" s="3">
        <v>0</v>
      </c>
      <c r="G16" s="3">
        <v>0</v>
      </c>
      <c r="H16" s="171" t="s">
        <v>225</v>
      </c>
      <c r="I16" s="164" t="s">
        <v>89</v>
      </c>
    </row>
    <row r="17" spans="1:9" x14ac:dyDescent="0.3">
      <c r="A17" s="166"/>
      <c r="B17" s="3">
        <v>0</v>
      </c>
      <c r="C17" s="3">
        <v>1</v>
      </c>
      <c r="D17" s="3">
        <v>0</v>
      </c>
      <c r="E17" s="3">
        <v>0</v>
      </c>
      <c r="F17" s="3">
        <v>1</v>
      </c>
      <c r="G17" s="3">
        <v>0</v>
      </c>
      <c r="H17" s="172"/>
      <c r="I17" s="164"/>
    </row>
    <row r="18" spans="1:9" ht="14.5" thickBot="1" x14ac:dyDescent="0.35">
      <c r="A18" s="170"/>
      <c r="B18" s="65">
        <v>0</v>
      </c>
      <c r="C18" s="65">
        <v>0</v>
      </c>
      <c r="D18" s="65">
        <v>1</v>
      </c>
      <c r="E18" s="65">
        <v>0</v>
      </c>
      <c r="F18" s="65">
        <v>0</v>
      </c>
      <c r="G18" s="65">
        <v>1</v>
      </c>
      <c r="H18" s="173"/>
      <c r="I18" s="164"/>
    </row>
    <row r="19" spans="1:9" x14ac:dyDescent="0.3">
      <c r="A19" s="174" t="s">
        <v>216</v>
      </c>
      <c r="B19" s="175"/>
      <c r="C19" s="175"/>
      <c r="D19" s="176"/>
      <c r="E19"/>
      <c r="F19"/>
      <c r="G19"/>
      <c r="H19" s="97"/>
      <c r="I19" s="14"/>
    </row>
    <row r="20" spans="1:9" x14ac:dyDescent="0.3">
      <c r="A20" s="44" t="s">
        <v>33</v>
      </c>
      <c r="B20" s="4">
        <v>3.69</v>
      </c>
      <c r="C20" s="4"/>
      <c r="D20" s="101"/>
      <c r="E20"/>
      <c r="F20"/>
      <c r="G20"/>
      <c r="H20" s="117" t="s">
        <v>222</v>
      </c>
      <c r="I20" s="10" t="s">
        <v>93</v>
      </c>
    </row>
    <row r="21" spans="1:9" x14ac:dyDescent="0.3">
      <c r="A21" s="44" t="s">
        <v>34</v>
      </c>
      <c r="B21" s="4">
        <v>0</v>
      </c>
      <c r="C21" s="4">
        <v>0</v>
      </c>
      <c r="D21" s="101">
        <v>1</v>
      </c>
      <c r="E21"/>
      <c r="F21"/>
      <c r="G21"/>
      <c r="H21" s="121" t="s">
        <v>42</v>
      </c>
      <c r="I21" s="10" t="s">
        <v>94</v>
      </c>
    </row>
    <row r="22" spans="1:9" ht="14.5" thickBot="1" x14ac:dyDescent="0.35">
      <c r="A22" s="51" t="s">
        <v>44</v>
      </c>
      <c r="B22" s="66">
        <v>1.2922899999999999</v>
      </c>
      <c r="C22" s="66">
        <v>0</v>
      </c>
      <c r="D22" s="103">
        <v>0</v>
      </c>
      <c r="E22"/>
      <c r="F22"/>
      <c r="G22"/>
      <c r="H22" s="122" t="s">
        <v>43</v>
      </c>
      <c r="I22" s="10" t="s">
        <v>95</v>
      </c>
    </row>
    <row r="23" spans="1:9" x14ac:dyDescent="0.3">
      <c r="A23" s="181" t="s">
        <v>208</v>
      </c>
      <c r="B23" s="161"/>
      <c r="C23" s="161"/>
      <c r="D23" s="182"/>
      <c r="E23" s="1"/>
      <c r="F23" s="1"/>
      <c r="G23" s="1"/>
      <c r="H23" s="71"/>
      <c r="I23" s="10"/>
    </row>
    <row r="24" spans="1:9" x14ac:dyDescent="0.3">
      <c r="A24" s="44" t="s">
        <v>213</v>
      </c>
      <c r="B24" s="4">
        <v>0</v>
      </c>
      <c r="C24" s="100"/>
      <c r="D24" s="72"/>
      <c r="H24" s="117" t="s">
        <v>21</v>
      </c>
      <c r="I24" s="10" t="s">
        <v>96</v>
      </c>
    </row>
    <row r="25" spans="1:9" x14ac:dyDescent="0.3">
      <c r="A25" s="162" t="s">
        <v>20</v>
      </c>
      <c r="B25" s="99">
        <v>1</v>
      </c>
      <c r="C25" s="115"/>
      <c r="D25" s="116"/>
      <c r="H25" s="169" t="s">
        <v>223</v>
      </c>
      <c r="I25" s="183" t="s">
        <v>97</v>
      </c>
    </row>
    <row r="26" spans="1:9" x14ac:dyDescent="0.3">
      <c r="A26" s="159"/>
      <c r="B26" s="99">
        <v>2</v>
      </c>
      <c r="C26" s="115"/>
      <c r="D26" s="116"/>
      <c r="H26" s="177"/>
      <c r="I26" s="183"/>
    </row>
    <row r="27" spans="1:9" x14ac:dyDescent="0.3">
      <c r="A27" s="159"/>
      <c r="B27" s="99">
        <v>3</v>
      </c>
      <c r="C27" s="115"/>
      <c r="D27" s="116"/>
      <c r="H27" s="177"/>
      <c r="I27" s="183"/>
    </row>
    <row r="28" spans="1:9" x14ac:dyDescent="0.3">
      <c r="A28" s="159"/>
      <c r="B28" s="99">
        <v>4</v>
      </c>
      <c r="C28" s="115"/>
      <c r="D28" s="116"/>
      <c r="H28" s="177"/>
      <c r="I28" s="183"/>
    </row>
    <row r="29" spans="1:9" x14ac:dyDescent="0.3">
      <c r="A29" s="159"/>
      <c r="B29" s="99">
        <v>5</v>
      </c>
      <c r="C29" s="115"/>
      <c r="D29" s="116"/>
      <c r="H29" s="177"/>
      <c r="I29" s="183"/>
    </row>
    <row r="30" spans="1:9" x14ac:dyDescent="0.3">
      <c r="A30" s="160"/>
      <c r="B30" s="99">
        <v>6</v>
      </c>
      <c r="C30" s="115"/>
      <c r="D30" s="116"/>
      <c r="H30" s="178"/>
      <c r="I30" s="183"/>
    </row>
    <row r="31" spans="1:9" x14ac:dyDescent="0.3">
      <c r="A31" s="44" t="s">
        <v>19</v>
      </c>
      <c r="B31" s="4">
        <v>0.14280000000000001</v>
      </c>
      <c r="C31" s="4"/>
      <c r="D31" s="101"/>
      <c r="H31" s="13" t="s">
        <v>16</v>
      </c>
      <c r="I31" s="183" t="s">
        <v>98</v>
      </c>
    </row>
    <row r="32" spans="1:9" x14ac:dyDescent="0.3">
      <c r="A32" s="44"/>
      <c r="B32" s="4">
        <v>0.27489999999999998</v>
      </c>
      <c r="C32" s="4"/>
      <c r="D32" s="101"/>
      <c r="H32" s="13" t="s">
        <v>17</v>
      </c>
      <c r="I32" s="183"/>
    </row>
    <row r="33" spans="1:9" x14ac:dyDescent="0.3">
      <c r="A33" s="44"/>
      <c r="B33" s="4">
        <v>0.81040000000000001</v>
      </c>
      <c r="C33" s="4"/>
      <c r="D33" s="101"/>
      <c r="H33" s="13" t="s">
        <v>18</v>
      </c>
      <c r="I33" s="183"/>
    </row>
    <row r="34" spans="1:9" x14ac:dyDescent="0.3">
      <c r="A34" s="44"/>
      <c r="B34" s="4">
        <v>1.0510999999999999</v>
      </c>
      <c r="C34" s="4"/>
      <c r="D34" s="101"/>
      <c r="H34" s="13" t="s">
        <v>16</v>
      </c>
      <c r="I34" s="183"/>
    </row>
    <row r="35" spans="1:9" x14ac:dyDescent="0.3">
      <c r="A35" s="44"/>
      <c r="B35" s="4">
        <v>2.5083000000000002</v>
      </c>
      <c r="C35" s="4"/>
      <c r="D35" s="101"/>
      <c r="H35" s="13" t="s">
        <v>18</v>
      </c>
      <c r="I35" s="183"/>
    </row>
    <row r="36" spans="1:9" x14ac:dyDescent="0.3">
      <c r="A36" s="44"/>
      <c r="B36" s="4">
        <v>2.6345000000000001</v>
      </c>
      <c r="C36" s="4"/>
      <c r="D36" s="101"/>
      <c r="H36" s="13" t="s">
        <v>17</v>
      </c>
      <c r="I36" s="183"/>
    </row>
    <row r="37" spans="1:9" x14ac:dyDescent="0.3">
      <c r="A37" s="44" t="s">
        <v>79</v>
      </c>
      <c r="B37" s="3">
        <v>5.0000000000000001E-3</v>
      </c>
      <c r="C37" s="3"/>
      <c r="D37" s="102"/>
      <c r="E37" s="7"/>
      <c r="F37" s="7"/>
      <c r="G37" s="7"/>
      <c r="H37" s="13"/>
      <c r="I37" s="183" t="s">
        <v>99</v>
      </c>
    </row>
    <row r="38" spans="1:9" x14ac:dyDescent="0.3">
      <c r="A38" s="44"/>
      <c r="B38" s="3">
        <v>5.0000000000000001E-3</v>
      </c>
      <c r="C38" s="3"/>
      <c r="D38" s="102"/>
      <c r="E38" s="7"/>
      <c r="F38" s="7"/>
      <c r="G38" s="7"/>
      <c r="H38" s="13"/>
      <c r="I38" s="183"/>
    </row>
    <row r="39" spans="1:9" x14ac:dyDescent="0.3">
      <c r="A39" s="44"/>
      <c r="B39" s="3">
        <v>5.0000000000000001E-3</v>
      </c>
      <c r="C39" s="3"/>
      <c r="D39" s="102"/>
      <c r="E39" s="7"/>
      <c r="F39" s="7"/>
      <c r="G39" s="7"/>
      <c r="H39" s="13"/>
      <c r="I39" s="183"/>
    </row>
    <row r="40" spans="1:9" x14ac:dyDescent="0.3">
      <c r="A40" s="44"/>
      <c r="B40" s="3">
        <v>5.0000000000000001E-3</v>
      </c>
      <c r="C40" s="3"/>
      <c r="D40" s="102"/>
      <c r="E40" s="7"/>
      <c r="F40" s="7"/>
      <c r="G40" s="7"/>
      <c r="H40" s="13"/>
      <c r="I40" s="183"/>
    </row>
    <row r="41" spans="1:9" x14ac:dyDescent="0.3">
      <c r="A41" s="44"/>
      <c r="B41" s="3">
        <v>5.0000000000000001E-3</v>
      </c>
      <c r="C41" s="3"/>
      <c r="D41" s="102"/>
      <c r="E41" s="7"/>
      <c r="F41" s="7"/>
      <c r="G41" s="7"/>
      <c r="H41" s="13"/>
      <c r="I41" s="183"/>
    </row>
    <row r="42" spans="1:9" x14ac:dyDescent="0.3">
      <c r="A42" s="44"/>
      <c r="B42" s="3">
        <v>5.0000000000000001E-3</v>
      </c>
      <c r="C42" s="3"/>
      <c r="D42" s="102"/>
      <c r="E42" s="7"/>
      <c r="F42" s="7"/>
      <c r="G42" s="7"/>
      <c r="H42" s="13"/>
      <c r="I42" s="183"/>
    </row>
    <row r="43" spans="1:9" x14ac:dyDescent="0.3">
      <c r="A43" s="60" t="s">
        <v>9</v>
      </c>
      <c r="B43" s="4">
        <v>0</v>
      </c>
      <c r="C43" s="4">
        <v>0</v>
      </c>
      <c r="D43" s="101">
        <v>0</v>
      </c>
      <c r="H43" s="8" t="s">
        <v>22</v>
      </c>
      <c r="I43" s="183" t="s">
        <v>100</v>
      </c>
    </row>
    <row r="44" spans="1:9" x14ac:dyDescent="0.3">
      <c r="A44" s="60"/>
      <c r="B44" s="4">
        <v>0</v>
      </c>
      <c r="C44" s="4">
        <v>0</v>
      </c>
      <c r="D44" s="101">
        <v>0</v>
      </c>
      <c r="H44" s="8"/>
      <c r="I44" s="183"/>
    </row>
    <row r="45" spans="1:9" x14ac:dyDescent="0.3">
      <c r="A45" s="60"/>
      <c r="B45" s="4">
        <v>0</v>
      </c>
      <c r="C45" s="4">
        <v>0</v>
      </c>
      <c r="D45" s="101">
        <v>0</v>
      </c>
      <c r="H45" s="8"/>
      <c r="I45" s="183"/>
    </row>
    <row r="46" spans="1:9" x14ac:dyDescent="0.3">
      <c r="A46" s="60"/>
      <c r="B46" s="4">
        <v>0</v>
      </c>
      <c r="C46" s="4">
        <v>0</v>
      </c>
      <c r="D46" s="101">
        <v>0</v>
      </c>
      <c r="H46" s="8"/>
      <c r="I46" s="183"/>
    </row>
    <row r="47" spans="1:9" x14ac:dyDescent="0.3">
      <c r="A47" s="60"/>
      <c r="B47" s="4">
        <v>0</v>
      </c>
      <c r="C47" s="4">
        <v>0</v>
      </c>
      <c r="D47" s="101">
        <v>0</v>
      </c>
      <c r="H47" s="8"/>
      <c r="I47" s="183"/>
    </row>
    <row r="48" spans="1:9" x14ac:dyDescent="0.3">
      <c r="A48" s="60"/>
      <c r="B48" s="4">
        <v>0</v>
      </c>
      <c r="C48" s="4">
        <v>0</v>
      </c>
      <c r="D48" s="101">
        <v>0</v>
      </c>
      <c r="H48" s="8"/>
      <c r="I48" s="183"/>
    </row>
    <row r="49" spans="1:9" x14ac:dyDescent="0.3">
      <c r="A49" s="60" t="s">
        <v>275</v>
      </c>
      <c r="B49" s="4">
        <v>0</v>
      </c>
      <c r="C49" s="4">
        <v>0</v>
      </c>
      <c r="D49" s="101">
        <v>0</v>
      </c>
      <c r="H49" s="8"/>
      <c r="I49" s="183" t="s">
        <v>101</v>
      </c>
    </row>
    <row r="50" spans="1:9" x14ac:dyDescent="0.3">
      <c r="A50" s="60"/>
      <c r="B50" s="4">
        <v>0</v>
      </c>
      <c r="C50" s="4">
        <v>0</v>
      </c>
      <c r="D50" s="101">
        <v>0</v>
      </c>
      <c r="H50" s="8"/>
      <c r="I50" s="183"/>
    </row>
    <row r="51" spans="1:9" x14ac:dyDescent="0.3">
      <c r="A51" s="60"/>
      <c r="B51" s="4">
        <v>0</v>
      </c>
      <c r="C51" s="4">
        <v>0</v>
      </c>
      <c r="D51" s="101">
        <v>0</v>
      </c>
      <c r="H51" s="8"/>
      <c r="I51" s="183"/>
    </row>
    <row r="52" spans="1:9" x14ac:dyDescent="0.3">
      <c r="A52" s="60"/>
      <c r="B52" s="4">
        <v>0</v>
      </c>
      <c r="C52" s="4">
        <v>0</v>
      </c>
      <c r="D52" s="101">
        <v>0</v>
      </c>
      <c r="H52" s="8"/>
      <c r="I52" s="183"/>
    </row>
    <row r="53" spans="1:9" x14ac:dyDescent="0.3">
      <c r="A53" s="60"/>
      <c r="B53" s="4">
        <v>0</v>
      </c>
      <c r="C53" s="4">
        <v>0</v>
      </c>
      <c r="D53" s="101">
        <v>0</v>
      </c>
      <c r="H53" s="8"/>
      <c r="I53" s="183"/>
    </row>
    <row r="54" spans="1:9" ht="14.5" thickBot="1" x14ac:dyDescent="0.35">
      <c r="A54" s="70"/>
      <c r="B54" s="66">
        <v>0</v>
      </c>
      <c r="C54" s="66">
        <v>0</v>
      </c>
      <c r="D54" s="103">
        <v>0</v>
      </c>
      <c r="H54" s="104"/>
      <c r="I54" s="184"/>
    </row>
    <row r="55" spans="1:9" x14ac:dyDescent="0.3">
      <c r="H55" s="105"/>
    </row>
  </sheetData>
  <mergeCells count="23">
    <mergeCell ref="E1:G1"/>
    <mergeCell ref="B1:D1"/>
    <mergeCell ref="A4:A5"/>
    <mergeCell ref="A13:A14"/>
    <mergeCell ref="I4:I5"/>
    <mergeCell ref="A7:A9"/>
    <mergeCell ref="H7:H9"/>
    <mergeCell ref="I7:I9"/>
    <mergeCell ref="E10:G10"/>
    <mergeCell ref="B10:D10"/>
    <mergeCell ref="I49:I54"/>
    <mergeCell ref="I31:I36"/>
    <mergeCell ref="I37:I42"/>
    <mergeCell ref="I13:I14"/>
    <mergeCell ref="A16:A18"/>
    <mergeCell ref="H16:H18"/>
    <mergeCell ref="I16:I18"/>
    <mergeCell ref="I43:I48"/>
    <mergeCell ref="A23:D23"/>
    <mergeCell ref="A25:A30"/>
    <mergeCell ref="I25:I30"/>
    <mergeCell ref="A19:D19"/>
    <mergeCell ref="H25:H30"/>
  </mergeCells>
  <phoneticPr fontId="1" type="noConversion"/>
  <conditionalFormatting sqref="B20:D22">
    <cfRule type="containsBlanks" dxfId="12" priority="1">
      <formula>LEN(TRIM(B20))=0</formula>
    </cfRule>
  </conditionalFormatting>
  <conditionalFormatting sqref="B24:D42">
    <cfRule type="containsBlanks" dxfId="11" priority="4">
      <formula>LEN(TRIM(B24))=0</formula>
    </cfRule>
  </conditionalFormatting>
  <conditionalFormatting sqref="B2:G18">
    <cfRule type="containsBlanks" dxfId="10" priority="2">
      <formula>LEN(TRIM(B2))=0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3DDE2-FD31-4F88-AD67-CDBC87CC6CE5}">
  <dimension ref="A1:G53"/>
  <sheetViews>
    <sheetView zoomScaleNormal="100" workbookViewId="0">
      <selection activeCell="H5" sqref="H5"/>
    </sheetView>
  </sheetViews>
  <sheetFormatPr defaultColWidth="9.08203125" defaultRowHeight="14" x14ac:dyDescent="0.3"/>
  <cols>
    <col min="1" max="1" width="17.75" style="1" bestFit="1" customWidth="1"/>
    <col min="2" max="2" width="8" style="2" bestFit="1" customWidth="1"/>
    <col min="3" max="4" width="9" style="2" bestFit="1" customWidth="1"/>
    <col min="5" max="5" width="55.83203125" style="2" bestFit="1" customWidth="1"/>
    <col min="6" max="6" width="19.5" style="2" bestFit="1" customWidth="1"/>
    <col min="7" max="7" width="9.08203125" style="2"/>
    <col min="8" max="8" width="59.75" style="1" customWidth="1"/>
    <col min="9" max="9" width="22.75" style="1" customWidth="1"/>
    <col min="10" max="16384" width="9.08203125" style="1"/>
  </cols>
  <sheetData>
    <row r="1" spans="1:7" x14ac:dyDescent="0.3">
      <c r="A1" s="174" t="s">
        <v>119</v>
      </c>
      <c r="B1" s="175"/>
      <c r="C1" s="175"/>
      <c r="D1" s="180"/>
      <c r="E1" s="138" t="s">
        <v>246</v>
      </c>
      <c r="F1" s="9" t="s">
        <v>45</v>
      </c>
      <c r="G1" s="1"/>
    </row>
    <row r="2" spans="1:7" x14ac:dyDescent="0.3">
      <c r="A2" s="60" t="s">
        <v>0</v>
      </c>
      <c r="B2" s="4">
        <v>0</v>
      </c>
      <c r="C2" s="4"/>
      <c r="D2" s="101"/>
      <c r="E2" s="61" t="s">
        <v>271</v>
      </c>
      <c r="F2" s="14" t="s">
        <v>102</v>
      </c>
      <c r="G2" s="1"/>
    </row>
    <row r="3" spans="1:7" x14ac:dyDescent="0.3">
      <c r="A3" s="60" t="s">
        <v>1</v>
      </c>
      <c r="B3" s="4">
        <v>0</v>
      </c>
      <c r="C3" s="4">
        <v>0</v>
      </c>
      <c r="D3" s="4">
        <v>0</v>
      </c>
      <c r="E3" s="61" t="s">
        <v>10</v>
      </c>
      <c r="F3" s="14" t="s">
        <v>103</v>
      </c>
      <c r="G3" s="1"/>
    </row>
    <row r="4" spans="1:7" ht="28" x14ac:dyDescent="0.3">
      <c r="A4" s="165" t="s">
        <v>2</v>
      </c>
      <c r="B4" s="4">
        <v>0</v>
      </c>
      <c r="C4" s="4">
        <v>0</v>
      </c>
      <c r="D4" s="4">
        <v>0</v>
      </c>
      <c r="E4" s="62" t="s">
        <v>11</v>
      </c>
      <c r="F4" s="164" t="s">
        <v>104</v>
      </c>
      <c r="G4" s="1"/>
    </row>
    <row r="5" spans="1:7" ht="28" x14ac:dyDescent="0.3">
      <c r="A5" s="165"/>
      <c r="B5" s="4">
        <v>0</v>
      </c>
      <c r="C5" s="4">
        <v>0</v>
      </c>
      <c r="D5" s="4">
        <v>0</v>
      </c>
      <c r="E5" s="106" t="s">
        <v>276</v>
      </c>
      <c r="F5" s="164"/>
      <c r="G5" s="1"/>
    </row>
    <row r="6" spans="1:7" ht="28" x14ac:dyDescent="0.3">
      <c r="A6" s="63" t="s">
        <v>4</v>
      </c>
      <c r="B6" s="4">
        <v>0</v>
      </c>
      <c r="C6" s="4">
        <v>0</v>
      </c>
      <c r="D6" s="4">
        <v>0</v>
      </c>
      <c r="E6" s="62" t="s">
        <v>12</v>
      </c>
      <c r="F6" s="14" t="s">
        <v>105</v>
      </c>
      <c r="G6" s="1"/>
    </row>
    <row r="7" spans="1:7" x14ac:dyDescent="0.3">
      <c r="A7" s="166" t="s">
        <v>5</v>
      </c>
      <c r="B7" s="4">
        <v>1</v>
      </c>
      <c r="C7" s="4">
        <v>0</v>
      </c>
      <c r="D7" s="4">
        <v>0</v>
      </c>
      <c r="E7" s="167" t="s">
        <v>8</v>
      </c>
      <c r="F7" s="164" t="s">
        <v>106</v>
      </c>
      <c r="G7" s="1"/>
    </row>
    <row r="8" spans="1:7" x14ac:dyDescent="0.3">
      <c r="A8" s="166"/>
      <c r="B8" s="4">
        <v>0</v>
      </c>
      <c r="C8" s="4">
        <v>1</v>
      </c>
      <c r="D8" s="4">
        <v>0</v>
      </c>
      <c r="E8" s="168"/>
      <c r="F8" s="164"/>
      <c r="G8" s="1"/>
    </row>
    <row r="9" spans="1:7" ht="14.5" thickBot="1" x14ac:dyDescent="0.35">
      <c r="A9" s="162"/>
      <c r="B9" s="67">
        <v>0</v>
      </c>
      <c r="C9" s="67">
        <v>0</v>
      </c>
      <c r="D9" s="67">
        <v>1</v>
      </c>
      <c r="E9" s="169"/>
      <c r="F9" s="164"/>
      <c r="G9" s="1"/>
    </row>
    <row r="10" spans="1:7" x14ac:dyDescent="0.3">
      <c r="A10" s="174" t="s">
        <v>118</v>
      </c>
      <c r="B10" s="175"/>
      <c r="C10" s="175"/>
      <c r="D10" s="180"/>
      <c r="E10" s="68"/>
      <c r="F10" s="14"/>
      <c r="G10" s="1"/>
    </row>
    <row r="11" spans="1:7" x14ac:dyDescent="0.3">
      <c r="A11" s="60" t="s">
        <v>0</v>
      </c>
      <c r="B11" s="4">
        <v>0</v>
      </c>
      <c r="C11" s="4"/>
      <c r="D11" s="4"/>
      <c r="E11" s="8" t="s">
        <v>272</v>
      </c>
      <c r="F11" s="14" t="s">
        <v>107</v>
      </c>
      <c r="G11" s="1"/>
    </row>
    <row r="12" spans="1:7" x14ac:dyDescent="0.3">
      <c r="A12" s="60" t="s">
        <v>1</v>
      </c>
      <c r="B12" s="4">
        <v>1.5465</v>
      </c>
      <c r="C12" s="4">
        <v>-2.7699999999999999E-2</v>
      </c>
      <c r="D12" s="4">
        <v>-0.13769999999999999</v>
      </c>
      <c r="E12" s="8" t="s">
        <v>221</v>
      </c>
      <c r="F12" s="14" t="s">
        <v>108</v>
      </c>
      <c r="G12" s="1"/>
    </row>
    <row r="13" spans="1:7" ht="28" x14ac:dyDescent="0.3">
      <c r="A13" s="165" t="s">
        <v>2</v>
      </c>
      <c r="B13" s="4">
        <v>0</v>
      </c>
      <c r="C13" s="4">
        <v>0</v>
      </c>
      <c r="D13" s="4">
        <v>0</v>
      </c>
      <c r="E13" s="12" t="s">
        <v>224</v>
      </c>
      <c r="F13" s="164" t="s">
        <v>109</v>
      </c>
      <c r="G13" s="1"/>
    </row>
    <row r="14" spans="1:7" ht="28" x14ac:dyDescent="0.3">
      <c r="A14" s="165"/>
      <c r="B14" s="4">
        <v>0</v>
      </c>
      <c r="C14" s="4">
        <v>0</v>
      </c>
      <c r="D14" s="4">
        <v>0</v>
      </c>
      <c r="E14" s="106" t="s">
        <v>276</v>
      </c>
      <c r="F14" s="164"/>
      <c r="G14" s="1"/>
    </row>
    <row r="15" spans="1:7" x14ac:dyDescent="0.3">
      <c r="A15" s="63" t="s">
        <v>4</v>
      </c>
      <c r="B15" s="4">
        <v>1.7748999999999999</v>
      </c>
      <c r="C15" s="4">
        <v>0</v>
      </c>
      <c r="D15" s="4">
        <v>1.34E-2</v>
      </c>
      <c r="E15" s="12" t="s">
        <v>226</v>
      </c>
      <c r="F15" s="14" t="s">
        <v>105</v>
      </c>
      <c r="G15" s="1"/>
    </row>
    <row r="16" spans="1:7" x14ac:dyDescent="0.3">
      <c r="A16" s="166" t="s">
        <v>5</v>
      </c>
      <c r="B16" s="3">
        <v>1</v>
      </c>
      <c r="C16" s="3">
        <v>0</v>
      </c>
      <c r="D16" s="3">
        <v>0</v>
      </c>
      <c r="E16" s="171" t="s">
        <v>225</v>
      </c>
      <c r="F16" s="164" t="s">
        <v>106</v>
      </c>
      <c r="G16" s="1"/>
    </row>
    <row r="17" spans="1:7" x14ac:dyDescent="0.3">
      <c r="A17" s="166"/>
      <c r="B17" s="3">
        <v>0</v>
      </c>
      <c r="C17" s="3">
        <v>1</v>
      </c>
      <c r="D17" s="3">
        <v>0</v>
      </c>
      <c r="E17" s="172"/>
      <c r="F17" s="164"/>
      <c r="G17" s="1"/>
    </row>
    <row r="18" spans="1:7" ht="14.5" thickBot="1" x14ac:dyDescent="0.35">
      <c r="A18" s="170"/>
      <c r="B18" s="65">
        <v>0</v>
      </c>
      <c r="C18" s="65">
        <v>0</v>
      </c>
      <c r="D18" s="65">
        <v>1</v>
      </c>
      <c r="E18" s="173"/>
      <c r="F18" s="185"/>
      <c r="G18" s="1"/>
    </row>
    <row r="19" spans="1:7" x14ac:dyDescent="0.3">
      <c r="A19" s="73"/>
      <c r="B19" s="7"/>
      <c r="C19" s="7"/>
      <c r="D19" s="7"/>
      <c r="E19" s="74"/>
      <c r="F19" s="1"/>
      <c r="G19" s="1"/>
    </row>
    <row r="20" spans="1:7" x14ac:dyDescent="0.3">
      <c r="A20" s="73"/>
      <c r="B20" s="7"/>
      <c r="C20" s="7"/>
      <c r="D20" s="7"/>
      <c r="E20" s="75"/>
      <c r="F20" s="1"/>
      <c r="G20" s="1"/>
    </row>
    <row r="21" spans="1:7" x14ac:dyDescent="0.3">
      <c r="A21" s="73"/>
      <c r="B21" s="7"/>
      <c r="C21" s="7"/>
      <c r="D21" s="7"/>
      <c r="E21" s="76"/>
      <c r="F21" s="1"/>
      <c r="G21" s="1"/>
    </row>
    <row r="22" spans="1:7" x14ac:dyDescent="0.3">
      <c r="A22" s="73"/>
      <c r="B22" s="78"/>
      <c r="C22" s="78"/>
      <c r="D22" s="78"/>
      <c r="E22" s="74"/>
      <c r="F22" s="1"/>
      <c r="G22" s="1"/>
    </row>
    <row r="23" spans="1:7" ht="15" x14ac:dyDescent="0.25">
      <c r="A23" s="73"/>
      <c r="B23" s="78"/>
      <c r="C23" s="78"/>
      <c r="D23" s="78"/>
      <c r="E23" s="77"/>
      <c r="F23" s="1"/>
      <c r="G23" s="1"/>
    </row>
    <row r="24" spans="1:7" x14ac:dyDescent="0.3">
      <c r="A24" s="73"/>
      <c r="B24" s="7"/>
      <c r="C24" s="7"/>
      <c r="D24" s="7"/>
      <c r="E24" s="78"/>
      <c r="F24" s="1"/>
      <c r="G24" s="1"/>
    </row>
    <row r="25" spans="1:7" x14ac:dyDescent="0.3">
      <c r="A25" s="73"/>
      <c r="B25" s="7"/>
      <c r="C25" s="7"/>
      <c r="D25" s="7"/>
      <c r="E25" s="78"/>
      <c r="F25" s="1"/>
      <c r="G25" s="1"/>
    </row>
    <row r="26" spans="1:7" x14ac:dyDescent="0.3">
      <c r="A26" s="73"/>
      <c r="B26" s="7"/>
      <c r="C26" s="7"/>
      <c r="D26" s="7"/>
      <c r="E26" s="78"/>
      <c r="F26" s="1"/>
      <c r="G26" s="1"/>
    </row>
    <row r="27" spans="1:7" x14ac:dyDescent="0.3">
      <c r="A27" s="73"/>
      <c r="B27" s="7"/>
      <c r="C27" s="7"/>
      <c r="D27" s="7"/>
      <c r="E27" s="78"/>
      <c r="F27" s="1"/>
      <c r="G27" s="1"/>
    </row>
    <row r="28" spans="1:7" x14ac:dyDescent="0.3">
      <c r="A28" s="73"/>
      <c r="B28" s="7"/>
      <c r="C28" s="7"/>
      <c r="D28" s="7"/>
      <c r="E28" s="78"/>
      <c r="F28" s="1"/>
      <c r="G28" s="1"/>
    </row>
    <row r="29" spans="1:7" x14ac:dyDescent="0.3">
      <c r="A29" s="73"/>
      <c r="B29" s="7"/>
      <c r="C29" s="7"/>
      <c r="D29" s="7"/>
      <c r="E29" s="78"/>
      <c r="F29" s="1"/>
      <c r="G29" s="1"/>
    </row>
    <row r="30" spans="1:7" x14ac:dyDescent="0.3">
      <c r="A30" s="73"/>
      <c r="B30" s="7"/>
      <c r="C30" s="7"/>
      <c r="D30" s="7"/>
      <c r="E30" s="78"/>
      <c r="F30" s="1"/>
      <c r="G30" s="1"/>
    </row>
    <row r="31" spans="1:7" x14ac:dyDescent="0.3">
      <c r="A31" s="73"/>
      <c r="B31" s="7"/>
      <c r="C31" s="7"/>
      <c r="D31" s="7"/>
      <c r="E31" s="78"/>
      <c r="F31" s="1"/>
      <c r="G31" s="1"/>
    </row>
    <row r="32" spans="1:7" x14ac:dyDescent="0.3">
      <c r="A32" s="73"/>
      <c r="B32" s="7"/>
      <c r="C32" s="7"/>
      <c r="D32" s="7"/>
      <c r="E32" s="78"/>
      <c r="F32" s="1"/>
      <c r="G32" s="1"/>
    </row>
    <row r="33" spans="1:7" x14ac:dyDescent="0.3">
      <c r="A33" s="73"/>
      <c r="B33" s="7"/>
      <c r="C33" s="7"/>
      <c r="D33" s="7"/>
      <c r="E33" s="78"/>
      <c r="F33" s="1"/>
      <c r="G33" s="1"/>
    </row>
    <row r="34" spans="1:7" x14ac:dyDescent="0.3">
      <c r="A34" s="73"/>
      <c r="B34" s="7"/>
      <c r="C34" s="7"/>
      <c r="D34" s="7"/>
      <c r="E34" s="78"/>
      <c r="F34" s="1"/>
      <c r="G34" s="1"/>
    </row>
    <row r="35" spans="1:7" x14ac:dyDescent="0.3">
      <c r="A35" s="73"/>
      <c r="B35" s="7"/>
      <c r="C35" s="7"/>
      <c r="D35" s="7"/>
      <c r="E35" s="78"/>
      <c r="F35" s="1"/>
      <c r="G35" s="1"/>
    </row>
    <row r="36" spans="1:7" x14ac:dyDescent="0.3">
      <c r="B36" s="7"/>
      <c r="C36" s="7"/>
      <c r="D36" s="7"/>
      <c r="E36" s="1"/>
      <c r="F36" s="1"/>
      <c r="G36" s="1"/>
    </row>
    <row r="37" spans="1:7" x14ac:dyDescent="0.3">
      <c r="B37" s="7"/>
      <c r="C37" s="7"/>
      <c r="D37" s="7"/>
      <c r="E37" s="1"/>
      <c r="F37" s="1"/>
      <c r="G37" s="1"/>
    </row>
    <row r="38" spans="1:7" x14ac:dyDescent="0.3">
      <c r="B38" s="7"/>
      <c r="C38" s="7"/>
      <c r="D38" s="7"/>
      <c r="E38" s="1"/>
      <c r="F38" s="1"/>
      <c r="G38" s="1"/>
    </row>
    <row r="39" spans="1:7" x14ac:dyDescent="0.3">
      <c r="B39" s="7"/>
      <c r="C39" s="7"/>
      <c r="D39" s="7"/>
      <c r="E39" s="1"/>
      <c r="F39" s="1"/>
      <c r="G39" s="1"/>
    </row>
    <row r="40" spans="1:7" x14ac:dyDescent="0.3">
      <c r="B40" s="7"/>
      <c r="C40" s="7"/>
      <c r="D40" s="7"/>
      <c r="E40" s="1"/>
      <c r="F40" s="1"/>
      <c r="G40" s="1"/>
    </row>
    <row r="41" spans="1:7" x14ac:dyDescent="0.3">
      <c r="B41" s="7"/>
      <c r="C41" s="7"/>
      <c r="D41" s="7"/>
      <c r="E41" s="1"/>
      <c r="F41" s="1"/>
      <c r="G41" s="1"/>
    </row>
    <row r="42" spans="1:7" x14ac:dyDescent="0.3">
      <c r="B42" s="7"/>
      <c r="C42" s="7"/>
      <c r="D42" s="7"/>
      <c r="E42" s="1"/>
      <c r="F42" s="1"/>
      <c r="G42" s="1"/>
    </row>
    <row r="43" spans="1:7" x14ac:dyDescent="0.3">
      <c r="B43" s="7"/>
      <c r="C43" s="7"/>
      <c r="D43" s="7"/>
      <c r="E43" s="1"/>
      <c r="F43" s="1"/>
      <c r="G43" s="1"/>
    </row>
    <row r="44" spans="1:7" x14ac:dyDescent="0.3">
      <c r="B44" s="7"/>
      <c r="C44" s="7"/>
      <c r="D44" s="7"/>
      <c r="E44" s="1"/>
      <c r="F44" s="1"/>
      <c r="G44" s="1"/>
    </row>
    <row r="45" spans="1:7" x14ac:dyDescent="0.3">
      <c r="B45" s="7"/>
      <c r="C45" s="7"/>
      <c r="D45" s="7"/>
      <c r="E45" s="1"/>
      <c r="F45" s="1"/>
      <c r="G45" s="1"/>
    </row>
    <row r="46" spans="1:7" x14ac:dyDescent="0.3">
      <c r="B46" s="7"/>
      <c r="C46" s="7"/>
      <c r="D46" s="7"/>
      <c r="E46" s="1"/>
      <c r="F46" s="1"/>
      <c r="G46" s="1"/>
    </row>
    <row r="47" spans="1:7" x14ac:dyDescent="0.3">
      <c r="B47" s="7"/>
      <c r="C47" s="7"/>
      <c r="D47" s="7"/>
      <c r="E47" s="1"/>
      <c r="F47" s="1"/>
      <c r="G47" s="1"/>
    </row>
    <row r="48" spans="1:7" x14ac:dyDescent="0.3">
      <c r="E48" s="1"/>
      <c r="F48" s="1"/>
      <c r="G48" s="1"/>
    </row>
    <row r="49" spans="5:7" x14ac:dyDescent="0.3">
      <c r="E49" s="1"/>
      <c r="F49" s="1"/>
      <c r="G49" s="1"/>
    </row>
    <row r="50" spans="5:7" x14ac:dyDescent="0.3">
      <c r="E50" s="1"/>
      <c r="F50" s="1"/>
      <c r="G50" s="1"/>
    </row>
    <row r="51" spans="5:7" x14ac:dyDescent="0.3">
      <c r="E51" s="1"/>
      <c r="F51" s="1"/>
      <c r="G51" s="1"/>
    </row>
    <row r="52" spans="5:7" x14ac:dyDescent="0.3">
      <c r="E52" s="1"/>
      <c r="F52" s="1"/>
      <c r="G52" s="1"/>
    </row>
    <row r="53" spans="5:7" x14ac:dyDescent="0.3">
      <c r="E53" s="1"/>
      <c r="F53" s="1"/>
      <c r="G53" s="1"/>
    </row>
  </sheetData>
  <mergeCells count="12">
    <mergeCell ref="A1:D1"/>
    <mergeCell ref="A13:A14"/>
    <mergeCell ref="F13:F14"/>
    <mergeCell ref="A16:A18"/>
    <mergeCell ref="E16:E18"/>
    <mergeCell ref="F16:F18"/>
    <mergeCell ref="A10:D10"/>
    <mergeCell ref="A4:A5"/>
    <mergeCell ref="F4:F5"/>
    <mergeCell ref="A7:A9"/>
    <mergeCell ref="E7:E9"/>
    <mergeCell ref="F7:F9"/>
  </mergeCells>
  <phoneticPr fontId="1" type="noConversion"/>
  <conditionalFormatting sqref="C2:D2">
    <cfRule type="containsBlanks" dxfId="9" priority="2">
      <formula>LEN(TRIM(C2))=0</formula>
    </cfRule>
  </conditionalFormatting>
  <conditionalFormatting sqref="C11:D11">
    <cfRule type="containsBlanks" dxfId="8" priority="1">
      <formula>LEN(TRIM(C11))=0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8C569-772F-4A80-A8DD-CD228A8F0293}">
  <dimension ref="A1:G53"/>
  <sheetViews>
    <sheetView zoomScaleNormal="100" workbookViewId="0">
      <selection activeCell="H6" sqref="H6"/>
    </sheetView>
  </sheetViews>
  <sheetFormatPr defaultColWidth="9.08203125" defaultRowHeight="14" x14ac:dyDescent="0.3"/>
  <cols>
    <col min="1" max="1" width="17.75" style="1" bestFit="1" customWidth="1"/>
    <col min="2" max="2" width="8" style="2" bestFit="1" customWidth="1"/>
    <col min="3" max="4" width="10" style="2" bestFit="1" customWidth="1"/>
    <col min="5" max="5" width="55.83203125" style="2" bestFit="1" customWidth="1"/>
    <col min="6" max="6" width="19.5" style="2" bestFit="1" customWidth="1"/>
    <col min="7" max="7" width="9.08203125" style="2"/>
    <col min="8" max="8" width="59.75" style="1" customWidth="1"/>
    <col min="9" max="9" width="22.75" style="1" customWidth="1"/>
    <col min="10" max="16384" width="9.08203125" style="1"/>
  </cols>
  <sheetData>
    <row r="1" spans="1:7" x14ac:dyDescent="0.3">
      <c r="A1" s="174" t="s">
        <v>119</v>
      </c>
      <c r="B1" s="175"/>
      <c r="C1" s="175"/>
      <c r="D1" s="180"/>
      <c r="E1" s="139" t="s">
        <v>246</v>
      </c>
      <c r="F1" s="9" t="s">
        <v>45</v>
      </c>
      <c r="G1" s="1"/>
    </row>
    <row r="2" spans="1:7" x14ac:dyDescent="0.3">
      <c r="A2" s="60" t="s">
        <v>0</v>
      </c>
      <c r="B2" s="4">
        <v>0</v>
      </c>
      <c r="C2" s="4"/>
      <c r="D2" s="4"/>
      <c r="E2" s="61" t="s">
        <v>271</v>
      </c>
      <c r="F2" s="14" t="s">
        <v>110</v>
      </c>
      <c r="G2" s="1"/>
    </row>
    <row r="3" spans="1:7" x14ac:dyDescent="0.3">
      <c r="A3" s="60" t="s">
        <v>1</v>
      </c>
      <c r="B3" s="4">
        <v>-0.64800000000000002</v>
      </c>
      <c r="C3" s="4">
        <v>2E-3</v>
      </c>
      <c r="D3" s="4">
        <v>2.5999999999999999E-2</v>
      </c>
      <c r="E3" s="61" t="s">
        <v>10</v>
      </c>
      <c r="F3" s="14" t="s">
        <v>111</v>
      </c>
      <c r="G3" s="1"/>
    </row>
    <row r="4" spans="1:7" ht="28" x14ac:dyDescent="0.3">
      <c r="A4" s="165" t="s">
        <v>2</v>
      </c>
      <c r="B4" s="4">
        <v>0</v>
      </c>
      <c r="C4" s="4">
        <v>0</v>
      </c>
      <c r="D4" s="4">
        <v>0</v>
      </c>
      <c r="E4" s="62" t="s">
        <v>11</v>
      </c>
      <c r="F4" s="164" t="s">
        <v>112</v>
      </c>
      <c r="G4" s="1"/>
    </row>
    <row r="5" spans="1:7" ht="28" x14ac:dyDescent="0.3">
      <c r="A5" s="165"/>
      <c r="B5" s="4">
        <v>0</v>
      </c>
      <c r="C5" s="4">
        <v>0</v>
      </c>
      <c r="D5" s="4">
        <v>0</v>
      </c>
      <c r="E5" s="106" t="s">
        <v>276</v>
      </c>
      <c r="F5" s="164"/>
      <c r="G5" s="1"/>
    </row>
    <row r="6" spans="1:7" ht="28" x14ac:dyDescent="0.3">
      <c r="A6" s="63" t="s">
        <v>4</v>
      </c>
      <c r="B6" s="4">
        <v>-0.14099999999999999</v>
      </c>
      <c r="C6" s="4">
        <v>0.479105</v>
      </c>
      <c r="D6" s="4">
        <v>0.40808100000000003</v>
      </c>
      <c r="E6" s="62" t="s">
        <v>12</v>
      </c>
      <c r="F6" s="14" t="s">
        <v>113</v>
      </c>
      <c r="G6" s="1"/>
    </row>
    <row r="7" spans="1:7" x14ac:dyDescent="0.3">
      <c r="A7" s="166" t="s">
        <v>5</v>
      </c>
      <c r="B7" s="4">
        <v>1</v>
      </c>
      <c r="C7" s="4">
        <v>0</v>
      </c>
      <c r="D7" s="4">
        <v>0</v>
      </c>
      <c r="E7" s="167" t="s">
        <v>8</v>
      </c>
      <c r="F7" s="164" t="s">
        <v>114</v>
      </c>
      <c r="G7" s="1"/>
    </row>
    <row r="8" spans="1:7" x14ac:dyDescent="0.3">
      <c r="A8" s="166"/>
      <c r="B8" s="4">
        <v>0</v>
      </c>
      <c r="C8" s="4">
        <v>1</v>
      </c>
      <c r="D8" s="4">
        <v>0</v>
      </c>
      <c r="E8" s="168"/>
      <c r="F8" s="164"/>
      <c r="G8" s="1"/>
    </row>
    <row r="9" spans="1:7" ht="14.5" thickBot="1" x14ac:dyDescent="0.35">
      <c r="A9" s="170"/>
      <c r="B9" s="66">
        <v>0</v>
      </c>
      <c r="C9" s="66">
        <v>0</v>
      </c>
      <c r="D9" s="66">
        <v>1</v>
      </c>
      <c r="E9" s="169"/>
      <c r="F9" s="164"/>
      <c r="G9" s="1"/>
    </row>
    <row r="10" spans="1:7" x14ac:dyDescent="0.3">
      <c r="A10" s="174" t="s">
        <v>118</v>
      </c>
      <c r="B10" s="175"/>
      <c r="C10" s="175"/>
      <c r="D10" s="180"/>
      <c r="E10" s="64"/>
      <c r="F10" s="14"/>
      <c r="G10" s="1"/>
    </row>
    <row r="11" spans="1:7" x14ac:dyDescent="0.3">
      <c r="A11" s="60" t="s">
        <v>0</v>
      </c>
      <c r="B11" s="4">
        <v>0</v>
      </c>
      <c r="C11" s="4"/>
      <c r="D11" s="4"/>
      <c r="E11" s="8" t="s">
        <v>272</v>
      </c>
      <c r="F11" s="14" t="s">
        <v>115</v>
      </c>
      <c r="G11" s="1"/>
    </row>
    <row r="12" spans="1:7" x14ac:dyDescent="0.3">
      <c r="A12" s="60" t="s">
        <v>1</v>
      </c>
      <c r="B12" s="4">
        <v>1.5465</v>
      </c>
      <c r="C12" s="4">
        <v>-2.7699999999999999E-2</v>
      </c>
      <c r="D12" s="4">
        <v>-0.1477</v>
      </c>
      <c r="E12" s="8" t="s">
        <v>221</v>
      </c>
      <c r="F12" s="14" t="s">
        <v>116</v>
      </c>
      <c r="G12" s="1"/>
    </row>
    <row r="13" spans="1:7" ht="28" x14ac:dyDescent="0.3">
      <c r="A13" s="165" t="s">
        <v>2</v>
      </c>
      <c r="B13" s="4">
        <v>0</v>
      </c>
      <c r="C13" s="4">
        <v>0</v>
      </c>
      <c r="D13" s="4">
        <v>0</v>
      </c>
      <c r="E13" s="12" t="s">
        <v>224</v>
      </c>
      <c r="F13" s="164" t="s">
        <v>117</v>
      </c>
      <c r="G13" s="1"/>
    </row>
    <row r="14" spans="1:7" ht="28" x14ac:dyDescent="0.3">
      <c r="A14" s="165"/>
      <c r="B14" s="4">
        <v>0</v>
      </c>
      <c r="C14" s="4">
        <v>0</v>
      </c>
      <c r="D14" s="4">
        <v>0</v>
      </c>
      <c r="E14" s="106" t="s">
        <v>276</v>
      </c>
      <c r="F14" s="164"/>
      <c r="G14" s="1"/>
    </row>
    <row r="15" spans="1:7" x14ac:dyDescent="0.3">
      <c r="A15" s="63" t="s">
        <v>4</v>
      </c>
      <c r="B15" s="4">
        <v>1.7748999999999999</v>
      </c>
      <c r="C15" s="4">
        <v>0</v>
      </c>
      <c r="D15" s="4">
        <v>1.44E-2</v>
      </c>
      <c r="E15" s="12" t="s">
        <v>226</v>
      </c>
      <c r="F15" s="14" t="s">
        <v>113</v>
      </c>
      <c r="G15" s="1"/>
    </row>
    <row r="16" spans="1:7" x14ac:dyDescent="0.3">
      <c r="A16" s="166" t="s">
        <v>5</v>
      </c>
      <c r="B16" s="3">
        <v>1</v>
      </c>
      <c r="C16" s="3">
        <v>0</v>
      </c>
      <c r="D16" s="3">
        <v>0</v>
      </c>
      <c r="E16" s="171" t="s">
        <v>225</v>
      </c>
      <c r="F16" s="164" t="s">
        <v>114</v>
      </c>
      <c r="G16" s="1"/>
    </row>
    <row r="17" spans="1:7" x14ac:dyDescent="0.3">
      <c r="A17" s="166"/>
      <c r="B17" s="3">
        <v>0</v>
      </c>
      <c r="C17" s="3">
        <v>1</v>
      </c>
      <c r="D17" s="3">
        <v>0</v>
      </c>
      <c r="E17" s="172"/>
      <c r="F17" s="164"/>
      <c r="G17" s="1"/>
    </row>
    <row r="18" spans="1:7" ht="14.5" thickBot="1" x14ac:dyDescent="0.35">
      <c r="A18" s="170"/>
      <c r="B18" s="65">
        <v>0</v>
      </c>
      <c r="C18" s="65">
        <v>0</v>
      </c>
      <c r="D18" s="65">
        <v>1</v>
      </c>
      <c r="E18" s="173"/>
      <c r="F18" s="185"/>
      <c r="G18" s="1"/>
    </row>
    <row r="19" spans="1:7" x14ac:dyDescent="0.3">
      <c r="A19" s="73"/>
      <c r="B19" s="7"/>
      <c r="C19" s="7"/>
      <c r="D19" s="7"/>
      <c r="E19" s="74"/>
      <c r="F19" s="1"/>
      <c r="G19" s="1"/>
    </row>
    <row r="20" spans="1:7" x14ac:dyDescent="0.3">
      <c r="A20" s="73"/>
      <c r="B20" s="7"/>
      <c r="C20" s="7"/>
      <c r="D20" s="7"/>
      <c r="E20" s="75"/>
      <c r="F20" s="1"/>
      <c r="G20" s="1"/>
    </row>
    <row r="21" spans="1:7" x14ac:dyDescent="0.3">
      <c r="A21" s="73"/>
      <c r="B21" s="7"/>
      <c r="C21" s="7"/>
      <c r="D21" s="7"/>
      <c r="E21" s="76"/>
      <c r="F21" s="1"/>
      <c r="G21" s="1"/>
    </row>
    <row r="22" spans="1:7" x14ac:dyDescent="0.3">
      <c r="A22" s="73"/>
      <c r="B22" s="78"/>
      <c r="C22" s="78"/>
      <c r="D22" s="78"/>
      <c r="E22" s="74"/>
      <c r="F22" s="1"/>
      <c r="G22" s="1"/>
    </row>
    <row r="23" spans="1:7" ht="15" x14ac:dyDescent="0.25">
      <c r="A23" s="73"/>
      <c r="B23" s="78"/>
      <c r="C23" s="78"/>
      <c r="D23" s="78"/>
      <c r="E23" s="77"/>
      <c r="F23" s="1"/>
      <c r="G23" s="1"/>
    </row>
    <row r="24" spans="1:7" x14ac:dyDescent="0.3">
      <c r="A24" s="73"/>
      <c r="B24" s="7"/>
      <c r="C24" s="7"/>
      <c r="D24" s="7"/>
      <c r="E24" s="78"/>
      <c r="F24" s="1"/>
      <c r="G24" s="1"/>
    </row>
    <row r="25" spans="1:7" x14ac:dyDescent="0.3">
      <c r="A25" s="73"/>
      <c r="B25" s="7"/>
      <c r="C25" s="7"/>
      <c r="D25" s="7"/>
      <c r="E25" s="78"/>
      <c r="F25" s="1"/>
      <c r="G25" s="1"/>
    </row>
    <row r="26" spans="1:7" x14ac:dyDescent="0.3">
      <c r="A26" s="73"/>
      <c r="B26" s="7"/>
      <c r="C26" s="7"/>
      <c r="D26" s="7"/>
      <c r="E26" s="78"/>
      <c r="F26" s="1"/>
      <c r="G26" s="1"/>
    </row>
    <row r="27" spans="1:7" x14ac:dyDescent="0.3">
      <c r="A27" s="73"/>
      <c r="B27" s="7"/>
      <c r="C27" s="7"/>
      <c r="D27" s="7"/>
      <c r="E27" s="78"/>
      <c r="F27" s="1"/>
      <c r="G27" s="1"/>
    </row>
    <row r="28" spans="1:7" x14ac:dyDescent="0.3">
      <c r="A28" s="73"/>
      <c r="B28" s="7"/>
      <c r="C28" s="7"/>
      <c r="D28" s="7"/>
      <c r="E28" s="78"/>
      <c r="F28" s="1"/>
      <c r="G28" s="1"/>
    </row>
    <row r="29" spans="1:7" x14ac:dyDescent="0.3">
      <c r="A29" s="73"/>
      <c r="B29" s="7"/>
      <c r="C29" s="7"/>
      <c r="D29" s="7"/>
      <c r="E29" s="78"/>
      <c r="F29" s="1"/>
      <c r="G29" s="1"/>
    </row>
    <row r="30" spans="1:7" x14ac:dyDescent="0.3">
      <c r="A30" s="73"/>
      <c r="B30" s="7"/>
      <c r="C30" s="7"/>
      <c r="D30" s="7"/>
      <c r="E30" s="78"/>
      <c r="F30" s="1"/>
      <c r="G30" s="1"/>
    </row>
    <row r="31" spans="1:7" x14ac:dyDescent="0.3">
      <c r="A31" s="73"/>
      <c r="B31" s="7"/>
      <c r="C31" s="7"/>
      <c r="D31" s="7"/>
      <c r="E31" s="78"/>
      <c r="F31" s="1"/>
      <c r="G31" s="1"/>
    </row>
    <row r="32" spans="1:7" x14ac:dyDescent="0.3">
      <c r="A32" s="73"/>
      <c r="B32" s="7"/>
      <c r="C32" s="7"/>
      <c r="D32" s="7"/>
      <c r="E32" s="78"/>
      <c r="F32" s="1"/>
      <c r="G32" s="1"/>
    </row>
    <row r="33" spans="1:7" x14ac:dyDescent="0.3">
      <c r="A33" s="73"/>
      <c r="B33" s="7"/>
      <c r="C33" s="7"/>
      <c r="D33" s="7"/>
      <c r="E33" s="78"/>
      <c r="F33" s="1"/>
      <c r="G33" s="1"/>
    </row>
    <row r="34" spans="1:7" x14ac:dyDescent="0.3">
      <c r="A34" s="73"/>
      <c r="B34" s="7"/>
      <c r="C34" s="7"/>
      <c r="D34" s="7"/>
      <c r="E34" s="78"/>
      <c r="F34" s="1"/>
      <c r="G34" s="1"/>
    </row>
    <row r="35" spans="1:7" x14ac:dyDescent="0.3">
      <c r="A35" s="73"/>
      <c r="B35" s="7"/>
      <c r="C35" s="7"/>
      <c r="D35" s="7"/>
      <c r="E35" s="78"/>
      <c r="F35" s="1"/>
      <c r="G35" s="1"/>
    </row>
    <row r="36" spans="1:7" x14ac:dyDescent="0.3">
      <c r="B36" s="7"/>
      <c r="C36" s="7"/>
      <c r="D36" s="7"/>
      <c r="E36" s="1"/>
      <c r="F36" s="1"/>
      <c r="G36" s="1"/>
    </row>
    <row r="37" spans="1:7" x14ac:dyDescent="0.3">
      <c r="B37" s="7"/>
      <c r="C37" s="7"/>
      <c r="D37" s="7"/>
      <c r="E37" s="1"/>
      <c r="F37" s="1"/>
      <c r="G37" s="1"/>
    </row>
    <row r="38" spans="1:7" x14ac:dyDescent="0.3">
      <c r="B38" s="7"/>
      <c r="C38" s="7"/>
      <c r="D38" s="7"/>
      <c r="E38" s="1"/>
      <c r="F38" s="1"/>
      <c r="G38" s="1"/>
    </row>
    <row r="39" spans="1:7" x14ac:dyDescent="0.3">
      <c r="B39" s="7"/>
      <c r="C39" s="7"/>
      <c r="D39" s="7"/>
      <c r="E39" s="1"/>
      <c r="F39" s="1"/>
      <c r="G39" s="1"/>
    </row>
    <row r="40" spans="1:7" x14ac:dyDescent="0.3">
      <c r="B40" s="7"/>
      <c r="C40" s="7"/>
      <c r="D40" s="7"/>
      <c r="E40" s="1"/>
      <c r="F40" s="1"/>
      <c r="G40" s="1"/>
    </row>
    <row r="41" spans="1:7" x14ac:dyDescent="0.3">
      <c r="B41" s="7"/>
      <c r="C41" s="7"/>
      <c r="D41" s="7"/>
      <c r="E41" s="1"/>
      <c r="F41" s="1"/>
      <c r="G41" s="1"/>
    </row>
    <row r="42" spans="1:7" x14ac:dyDescent="0.3">
      <c r="B42" s="7"/>
      <c r="C42" s="7"/>
      <c r="D42" s="7"/>
      <c r="E42" s="1"/>
      <c r="F42" s="1"/>
      <c r="G42" s="1"/>
    </row>
    <row r="43" spans="1:7" x14ac:dyDescent="0.3">
      <c r="B43" s="7"/>
      <c r="C43" s="7"/>
      <c r="D43" s="7"/>
      <c r="E43" s="1"/>
      <c r="F43" s="1"/>
      <c r="G43" s="1"/>
    </row>
    <row r="44" spans="1:7" x14ac:dyDescent="0.3">
      <c r="B44" s="7"/>
      <c r="C44" s="7"/>
      <c r="D44" s="7"/>
      <c r="E44" s="1"/>
      <c r="F44" s="1"/>
      <c r="G44" s="1"/>
    </row>
    <row r="45" spans="1:7" x14ac:dyDescent="0.3">
      <c r="B45" s="7"/>
      <c r="C45" s="7"/>
      <c r="D45" s="7"/>
      <c r="E45" s="1"/>
      <c r="F45" s="1"/>
      <c r="G45" s="1"/>
    </row>
    <row r="46" spans="1:7" x14ac:dyDescent="0.3">
      <c r="B46" s="7"/>
      <c r="C46" s="7"/>
      <c r="D46" s="7"/>
      <c r="E46" s="1"/>
      <c r="F46" s="1"/>
      <c r="G46" s="1"/>
    </row>
    <row r="47" spans="1:7" x14ac:dyDescent="0.3">
      <c r="B47" s="7"/>
      <c r="C47" s="7"/>
      <c r="D47" s="7"/>
      <c r="E47" s="1"/>
      <c r="F47" s="1"/>
      <c r="G47" s="1"/>
    </row>
    <row r="48" spans="1:7" x14ac:dyDescent="0.3">
      <c r="E48" s="1"/>
      <c r="F48" s="1"/>
      <c r="G48" s="1"/>
    </row>
    <row r="49" spans="5:7" x14ac:dyDescent="0.3">
      <c r="E49" s="1"/>
      <c r="F49" s="1"/>
      <c r="G49" s="1"/>
    </row>
    <row r="50" spans="5:7" x14ac:dyDescent="0.3">
      <c r="E50" s="1"/>
      <c r="F50" s="1"/>
      <c r="G50" s="1"/>
    </row>
    <row r="51" spans="5:7" x14ac:dyDescent="0.3">
      <c r="E51" s="1"/>
      <c r="F51" s="1"/>
      <c r="G51" s="1"/>
    </row>
    <row r="52" spans="5:7" x14ac:dyDescent="0.3">
      <c r="E52" s="1"/>
      <c r="F52" s="1"/>
      <c r="G52" s="1"/>
    </row>
    <row r="53" spans="5:7" x14ac:dyDescent="0.3">
      <c r="E53" s="1"/>
      <c r="F53" s="1"/>
      <c r="G53" s="1"/>
    </row>
  </sheetData>
  <mergeCells count="12">
    <mergeCell ref="A7:A9"/>
    <mergeCell ref="E7:E9"/>
    <mergeCell ref="F7:F9"/>
    <mergeCell ref="A1:D1"/>
    <mergeCell ref="A10:D10"/>
    <mergeCell ref="A4:A5"/>
    <mergeCell ref="F4:F5"/>
    <mergeCell ref="A13:A14"/>
    <mergeCell ref="F13:F14"/>
    <mergeCell ref="A16:A18"/>
    <mergeCell ref="E16:E18"/>
    <mergeCell ref="F16:F18"/>
  </mergeCells>
  <phoneticPr fontId="1" type="noConversion"/>
  <conditionalFormatting sqref="C2:D2">
    <cfRule type="containsBlanks" dxfId="7" priority="2">
      <formula>LEN(TRIM(C2))=0</formula>
    </cfRule>
  </conditionalFormatting>
  <conditionalFormatting sqref="C11:D11">
    <cfRule type="containsBlanks" dxfId="6" priority="1">
      <formula>LEN(TRIM(C11))=0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A158F-89EE-4A2F-8AB3-E451A7A7E8D2}">
  <sheetPr>
    <outlinePr summaryBelow="0" summaryRight="0"/>
  </sheetPr>
  <dimension ref="A1:AN22"/>
  <sheetViews>
    <sheetView workbookViewId="0">
      <selection activeCell="F11" sqref="F11"/>
    </sheetView>
  </sheetViews>
  <sheetFormatPr defaultColWidth="9.58203125" defaultRowHeight="15.5" x14ac:dyDescent="0.3"/>
  <cols>
    <col min="1" max="1" width="20.33203125" style="85" bestFit="1" customWidth="1"/>
    <col min="2" max="2" width="17.75" style="85" bestFit="1" customWidth="1"/>
    <col min="3" max="3" width="9" style="86" bestFit="1" customWidth="1"/>
    <col min="4" max="4" width="10" style="86" bestFit="1" customWidth="1"/>
    <col min="5" max="5" width="9" style="86" bestFit="1" customWidth="1"/>
    <col min="6" max="6" width="61.83203125" style="85" bestFit="1" customWidth="1"/>
    <col min="7" max="40" width="9.58203125" style="85"/>
    <col min="41" max="16384" width="9.58203125" style="87"/>
  </cols>
  <sheetData>
    <row r="1" spans="1:9" x14ac:dyDescent="0.3">
      <c r="A1" s="186" t="s">
        <v>197</v>
      </c>
      <c r="B1" s="123" t="s">
        <v>198</v>
      </c>
      <c r="C1" s="124">
        <v>140</v>
      </c>
      <c r="D1" s="124"/>
      <c r="E1" s="124"/>
      <c r="F1" s="125" t="s">
        <v>199</v>
      </c>
    </row>
    <row r="2" spans="1:9" x14ac:dyDescent="0.3">
      <c r="A2" s="187"/>
      <c r="B2" s="83" t="s">
        <v>200</v>
      </c>
      <c r="C2" s="84">
        <v>-7.7299999999999994E-2</v>
      </c>
      <c r="D2" s="84">
        <v>-3.46E-3</v>
      </c>
      <c r="E2" s="84">
        <v>0.67347000000000001</v>
      </c>
      <c r="F2" s="126" t="s">
        <v>201</v>
      </c>
    </row>
    <row r="3" spans="1:9" ht="28" x14ac:dyDescent="0.3">
      <c r="A3" s="187"/>
      <c r="B3" s="83" t="s">
        <v>202</v>
      </c>
      <c r="C3" s="84">
        <v>29.7</v>
      </c>
      <c r="D3" s="84">
        <v>37</v>
      </c>
      <c r="E3" s="84">
        <v>21.3</v>
      </c>
      <c r="F3" s="127" t="s">
        <v>203</v>
      </c>
    </row>
    <row r="4" spans="1:9" ht="28" x14ac:dyDescent="0.3">
      <c r="A4" s="187"/>
      <c r="B4" s="83"/>
      <c r="C4" s="84">
        <v>0</v>
      </c>
      <c r="D4" s="84">
        <v>0</v>
      </c>
      <c r="E4" s="84">
        <v>0</v>
      </c>
      <c r="F4" s="106" t="s">
        <v>276</v>
      </c>
    </row>
    <row r="5" spans="1:9" x14ac:dyDescent="0.3">
      <c r="A5" s="188" t="s">
        <v>204</v>
      </c>
      <c r="B5" s="83" t="s">
        <v>198</v>
      </c>
      <c r="C5" s="84"/>
      <c r="D5" s="84"/>
      <c r="E5" s="84"/>
      <c r="F5" s="126"/>
    </row>
    <row r="6" spans="1:9" x14ac:dyDescent="0.3">
      <c r="A6" s="187"/>
      <c r="B6" s="83" t="s">
        <v>200</v>
      </c>
      <c r="C6" s="84">
        <v>29.4</v>
      </c>
      <c r="D6" s="84">
        <v>62.8</v>
      </c>
      <c r="E6" s="84">
        <v>46.8</v>
      </c>
      <c r="F6" s="126"/>
      <c r="G6" s="189" t="s">
        <v>205</v>
      </c>
      <c r="H6" s="189"/>
      <c r="I6" s="189"/>
    </row>
    <row r="7" spans="1:9" x14ac:dyDescent="0.3">
      <c r="A7" s="187"/>
      <c r="B7" s="83" t="s">
        <v>202</v>
      </c>
      <c r="C7" s="84"/>
      <c r="D7" s="84"/>
      <c r="E7" s="84"/>
      <c r="F7" s="126"/>
      <c r="G7" s="189"/>
      <c r="H7" s="189"/>
      <c r="I7" s="189"/>
    </row>
    <row r="8" spans="1:9" x14ac:dyDescent="0.3">
      <c r="A8" s="187"/>
      <c r="B8" s="83"/>
      <c r="C8" s="84"/>
      <c r="D8" s="84"/>
      <c r="E8" s="84"/>
      <c r="F8" s="126"/>
      <c r="G8" s="189"/>
      <c r="H8" s="189"/>
      <c r="I8" s="189"/>
    </row>
    <row r="9" spans="1:9" x14ac:dyDescent="0.3">
      <c r="A9" s="188" t="s">
        <v>206</v>
      </c>
      <c r="B9" s="83" t="s">
        <v>198</v>
      </c>
      <c r="C9" s="84"/>
      <c r="D9" s="84"/>
      <c r="E9" s="84"/>
      <c r="F9" s="126"/>
      <c r="G9" s="189"/>
      <c r="H9" s="189"/>
      <c r="I9" s="189"/>
    </row>
    <row r="10" spans="1:9" x14ac:dyDescent="0.3">
      <c r="A10" s="187"/>
      <c r="B10" s="83" t="s">
        <v>200</v>
      </c>
      <c r="C10" s="84"/>
      <c r="D10" s="84"/>
      <c r="E10" s="84"/>
      <c r="F10" s="126"/>
      <c r="G10" s="189"/>
      <c r="H10" s="189"/>
      <c r="I10" s="189"/>
    </row>
    <row r="11" spans="1:9" x14ac:dyDescent="0.3">
      <c r="A11" s="187"/>
      <c r="B11" s="83" t="s">
        <v>202</v>
      </c>
      <c r="C11" s="84"/>
      <c r="D11" s="84"/>
      <c r="E11" s="84"/>
      <c r="F11" s="126"/>
      <c r="G11" s="189"/>
      <c r="H11" s="189"/>
      <c r="I11" s="189"/>
    </row>
    <row r="12" spans="1:9" x14ac:dyDescent="0.3">
      <c r="A12" s="190"/>
      <c r="B12" s="88"/>
      <c r="C12" s="89"/>
      <c r="D12" s="89"/>
      <c r="E12" s="89"/>
      <c r="F12" s="128"/>
      <c r="G12" s="189"/>
      <c r="H12" s="189"/>
      <c r="I12" s="189"/>
    </row>
    <row r="13" spans="1:9" x14ac:dyDescent="0.3">
      <c r="A13" s="191" t="s">
        <v>207</v>
      </c>
      <c r="B13" s="92" t="s">
        <v>198</v>
      </c>
      <c r="C13" s="93"/>
      <c r="D13" s="93"/>
      <c r="E13" s="93"/>
      <c r="F13" s="129"/>
      <c r="G13" s="189"/>
      <c r="H13" s="189"/>
      <c r="I13" s="189"/>
    </row>
    <row r="14" spans="1:9" x14ac:dyDescent="0.3">
      <c r="A14" s="192"/>
      <c r="B14" s="92" t="s">
        <v>200</v>
      </c>
      <c r="C14" s="93"/>
      <c r="D14" s="93"/>
      <c r="E14" s="93"/>
      <c r="F14" s="129"/>
      <c r="G14" s="189"/>
      <c r="H14" s="189"/>
      <c r="I14" s="189"/>
    </row>
    <row r="15" spans="1:9" x14ac:dyDescent="0.3">
      <c r="A15" s="192"/>
      <c r="B15" s="92" t="s">
        <v>202</v>
      </c>
      <c r="C15" s="93"/>
      <c r="D15" s="93"/>
      <c r="E15" s="93"/>
      <c r="F15" s="129"/>
    </row>
    <row r="16" spans="1:9" ht="16" thickBot="1" x14ac:dyDescent="0.35">
      <c r="A16" s="193"/>
      <c r="B16" s="130"/>
      <c r="C16" s="131"/>
      <c r="D16" s="131"/>
      <c r="E16" s="131"/>
      <c r="F16" s="132"/>
    </row>
    <row r="17" spans="3:6" x14ac:dyDescent="0.3">
      <c r="C17" s="90"/>
      <c r="D17" s="90"/>
      <c r="E17" s="90"/>
      <c r="F17" s="91"/>
    </row>
    <row r="18" spans="3:6" x14ac:dyDescent="0.3">
      <c r="C18" s="90"/>
      <c r="D18" s="90"/>
      <c r="E18" s="90"/>
      <c r="F18" s="91"/>
    </row>
    <row r="19" spans="3:6" x14ac:dyDescent="0.3">
      <c r="C19" s="90"/>
      <c r="D19" s="90"/>
      <c r="E19" s="90"/>
      <c r="F19" s="91"/>
    </row>
    <row r="20" spans="3:6" x14ac:dyDescent="0.3">
      <c r="C20" s="90"/>
      <c r="D20" s="90"/>
      <c r="E20" s="90"/>
      <c r="F20" s="91"/>
    </row>
    <row r="21" spans="3:6" x14ac:dyDescent="0.3">
      <c r="C21" s="90"/>
      <c r="D21" s="90"/>
      <c r="E21" s="90"/>
      <c r="F21" s="91"/>
    </row>
    <row r="22" spans="3:6" x14ac:dyDescent="0.3">
      <c r="C22" s="90"/>
      <c r="D22" s="90"/>
      <c r="E22" s="90"/>
      <c r="F22" s="91"/>
    </row>
  </sheetData>
  <mergeCells count="5">
    <mergeCell ref="A1:A4"/>
    <mergeCell ref="A5:A8"/>
    <mergeCell ref="G6:I14"/>
    <mergeCell ref="A9:A12"/>
    <mergeCell ref="A13:A16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88C81-00F5-4A72-97BC-1BB8A6F31404}">
  <dimension ref="A1:T41"/>
  <sheetViews>
    <sheetView zoomScaleNormal="100" workbookViewId="0">
      <selection activeCell="R11" sqref="R11"/>
    </sheetView>
  </sheetViews>
  <sheetFormatPr defaultRowHeight="14" x14ac:dyDescent="0.3"/>
  <cols>
    <col min="1" max="1" width="43.25" customWidth="1"/>
    <col min="2" max="7" width="9.83203125" bestFit="1" customWidth="1"/>
    <col min="8" max="8" width="9.08203125" bestFit="1" customWidth="1"/>
    <col min="9" max="10" width="9.83203125" bestFit="1" customWidth="1"/>
    <col min="11" max="13" width="9.08203125" bestFit="1" customWidth="1"/>
    <col min="14" max="14" width="9.33203125" customWidth="1"/>
  </cols>
  <sheetData>
    <row r="1" spans="1:14" x14ac:dyDescent="0.3">
      <c r="A1" s="41" t="s">
        <v>122</v>
      </c>
      <c r="B1" s="110" t="s">
        <v>123</v>
      </c>
      <c r="C1" s="111" t="s">
        <v>124</v>
      </c>
      <c r="D1" s="111" t="s">
        <v>125</v>
      </c>
      <c r="E1" s="111" t="s">
        <v>126</v>
      </c>
      <c r="F1" s="146" t="s">
        <v>263</v>
      </c>
    </row>
    <row r="2" spans="1:14" x14ac:dyDescent="0.3">
      <c r="A2" s="42" t="s">
        <v>185</v>
      </c>
      <c r="B2" s="38">
        <v>0</v>
      </c>
      <c r="C2" s="39">
        <v>0</v>
      </c>
      <c r="D2" s="40">
        <v>1</v>
      </c>
      <c r="E2" s="144"/>
      <c r="F2" s="149">
        <v>3</v>
      </c>
    </row>
    <row r="3" spans="1:14" x14ac:dyDescent="0.3">
      <c r="A3" s="166" t="s">
        <v>127</v>
      </c>
      <c r="B3" s="16">
        <v>0.180991260068782</v>
      </c>
      <c r="C3" s="21">
        <v>0.36815101507647502</v>
      </c>
      <c r="D3" s="21">
        <v>0.70710678118654802</v>
      </c>
      <c r="E3" s="21">
        <v>1</v>
      </c>
      <c r="F3" s="45"/>
    </row>
    <row r="4" spans="1:14" x14ac:dyDescent="0.3">
      <c r="A4" s="166"/>
      <c r="B4" s="16">
        <v>0.90902965297220695</v>
      </c>
      <c r="C4" s="22">
        <v>7.3299790599117398E-2</v>
      </c>
      <c r="D4" s="22">
        <v>0</v>
      </c>
      <c r="E4" s="22">
        <v>0</v>
      </c>
      <c r="F4" s="45"/>
    </row>
    <row r="5" spans="1:14" x14ac:dyDescent="0.3">
      <c r="A5" s="166"/>
      <c r="B5" s="16">
        <v>7.3299830998249202E-2</v>
      </c>
      <c r="C5" s="22">
        <v>0.909030153983308</v>
      </c>
      <c r="D5" s="22">
        <v>0</v>
      </c>
      <c r="E5" s="22">
        <v>0</v>
      </c>
      <c r="F5" s="45"/>
    </row>
    <row r="6" spans="1:14" x14ac:dyDescent="0.3">
      <c r="A6" s="166"/>
      <c r="B6" s="16">
        <v>0.36815121798266698</v>
      </c>
      <c r="C6" s="22">
        <v>0.180990237356252</v>
      </c>
      <c r="D6" s="22">
        <v>0.70710678118654802</v>
      </c>
      <c r="E6" s="22">
        <v>0</v>
      </c>
      <c r="F6" s="45"/>
    </row>
    <row r="7" spans="1:14" x14ac:dyDescent="0.3">
      <c r="A7" s="195" t="s">
        <v>228</v>
      </c>
      <c r="B7" s="15">
        <v>3</v>
      </c>
      <c r="C7" s="15">
        <v>3</v>
      </c>
      <c r="D7" s="15">
        <v>3</v>
      </c>
      <c r="E7" s="15">
        <v>3</v>
      </c>
      <c r="F7" s="45"/>
    </row>
    <row r="8" spans="1:14" x14ac:dyDescent="0.3">
      <c r="A8" s="196"/>
      <c r="B8" s="15">
        <v>3</v>
      </c>
      <c r="C8" s="15">
        <v>3</v>
      </c>
      <c r="D8" s="15">
        <v>3</v>
      </c>
      <c r="E8" s="15">
        <v>3</v>
      </c>
      <c r="F8" s="45"/>
    </row>
    <row r="9" spans="1:14" x14ac:dyDescent="0.3">
      <c r="A9" s="197"/>
      <c r="B9" s="15">
        <v>30</v>
      </c>
      <c r="C9" s="15">
        <v>30</v>
      </c>
      <c r="D9" s="15">
        <v>30</v>
      </c>
      <c r="E9" s="15">
        <v>30</v>
      </c>
      <c r="F9" s="45"/>
    </row>
    <row r="10" spans="1:14" x14ac:dyDescent="0.3">
      <c r="A10" s="46" t="s">
        <v>129</v>
      </c>
      <c r="B10" s="23">
        <v>35</v>
      </c>
      <c r="C10" s="23">
        <v>35</v>
      </c>
      <c r="D10" s="23">
        <v>35</v>
      </c>
      <c r="E10" s="23">
        <v>35</v>
      </c>
      <c r="F10" s="45"/>
    </row>
    <row r="11" spans="1:14" x14ac:dyDescent="0.3">
      <c r="A11" s="46" t="s">
        <v>128</v>
      </c>
      <c r="B11" s="15">
        <v>30</v>
      </c>
      <c r="C11" s="15">
        <v>30</v>
      </c>
      <c r="D11" s="15">
        <v>30</v>
      </c>
      <c r="E11" s="15">
        <v>30</v>
      </c>
      <c r="F11" s="45"/>
    </row>
    <row r="12" spans="1:14" ht="14.5" thickBot="1" x14ac:dyDescent="0.35">
      <c r="A12" s="79" t="s">
        <v>229</v>
      </c>
      <c r="B12" s="21">
        <v>0</v>
      </c>
      <c r="E12" s="16"/>
      <c r="F12" s="45"/>
    </row>
    <row r="13" spans="1:14" x14ac:dyDescent="0.3">
      <c r="A13" s="41" t="s">
        <v>130</v>
      </c>
      <c r="B13" s="194" t="s">
        <v>131</v>
      </c>
      <c r="C13" s="194"/>
      <c r="D13" s="194"/>
      <c r="E13" s="194" t="s">
        <v>132</v>
      </c>
      <c r="F13" s="194"/>
      <c r="G13" s="194"/>
      <c r="H13" s="194" t="s">
        <v>133</v>
      </c>
      <c r="I13" s="194"/>
      <c r="J13" s="194"/>
      <c r="K13" s="194" t="s">
        <v>134</v>
      </c>
      <c r="L13" s="194"/>
      <c r="M13" s="194"/>
      <c r="N13" s="146" t="s">
        <v>264</v>
      </c>
    </row>
    <row r="14" spans="1:14" x14ac:dyDescent="0.3">
      <c r="A14" s="166" t="s">
        <v>261</v>
      </c>
      <c r="B14" s="28">
        <v>-1</v>
      </c>
      <c r="C14" s="29">
        <v>0</v>
      </c>
      <c r="D14" s="24">
        <v>0</v>
      </c>
      <c r="E14" s="28">
        <v>0</v>
      </c>
      <c r="F14" s="29">
        <v>0</v>
      </c>
      <c r="G14" s="24">
        <v>1</v>
      </c>
      <c r="H14" s="28">
        <v>1</v>
      </c>
      <c r="I14" s="29">
        <v>0</v>
      </c>
      <c r="J14" s="24">
        <v>0</v>
      </c>
      <c r="K14" s="28">
        <v>1</v>
      </c>
      <c r="L14" s="29">
        <v>0</v>
      </c>
      <c r="M14" s="24">
        <v>0</v>
      </c>
      <c r="N14" s="149">
        <v>2</v>
      </c>
    </row>
    <row r="15" spans="1:14" x14ac:dyDescent="0.3">
      <c r="A15" s="166"/>
      <c r="B15" s="17">
        <v>0</v>
      </c>
      <c r="C15">
        <v>0</v>
      </c>
      <c r="D15" s="16">
        <v>-1</v>
      </c>
      <c r="E15" s="17">
        <v>0</v>
      </c>
      <c r="F15">
        <v>-1</v>
      </c>
      <c r="G15" s="16">
        <v>0</v>
      </c>
      <c r="H15" s="17">
        <v>0</v>
      </c>
      <c r="I15">
        <v>1</v>
      </c>
      <c r="J15" s="16">
        <v>0</v>
      </c>
      <c r="K15" s="17">
        <v>0</v>
      </c>
      <c r="L15">
        <v>1</v>
      </c>
      <c r="M15" s="16">
        <v>0</v>
      </c>
      <c r="N15" s="45"/>
    </row>
    <row r="16" spans="1:14" x14ac:dyDescent="0.3">
      <c r="A16" s="166"/>
      <c r="B16" s="18">
        <v>0</v>
      </c>
      <c r="C16" s="19">
        <v>-1</v>
      </c>
      <c r="D16" s="20">
        <v>0</v>
      </c>
      <c r="E16" s="18">
        <v>1</v>
      </c>
      <c r="F16" s="19">
        <v>0</v>
      </c>
      <c r="G16" s="20">
        <v>0</v>
      </c>
      <c r="H16" s="18">
        <v>0</v>
      </c>
      <c r="I16" s="19">
        <v>0</v>
      </c>
      <c r="J16" s="20">
        <v>1</v>
      </c>
      <c r="K16" s="18">
        <v>0</v>
      </c>
      <c r="L16" s="19">
        <v>0</v>
      </c>
      <c r="M16" s="20">
        <v>1</v>
      </c>
      <c r="N16" s="45"/>
    </row>
    <row r="17" spans="1:20" ht="14.5" thickBot="1" x14ac:dyDescent="0.35">
      <c r="A17" s="79" t="s">
        <v>255</v>
      </c>
      <c r="B17" s="28">
        <v>4.0000000000000001E-3</v>
      </c>
      <c r="C17" s="29">
        <v>4.0000000000000001E-3</v>
      </c>
      <c r="D17" s="24">
        <v>4.0000000000000001E-3</v>
      </c>
      <c r="E17" s="28">
        <v>0.02</v>
      </c>
      <c r="F17" s="29">
        <v>0.02</v>
      </c>
      <c r="G17" s="24">
        <v>0.02</v>
      </c>
      <c r="H17" s="28">
        <v>0.02</v>
      </c>
      <c r="I17" s="29">
        <v>0.02</v>
      </c>
      <c r="J17" s="24">
        <v>0.02</v>
      </c>
      <c r="K17" s="28">
        <v>0.02</v>
      </c>
      <c r="L17" s="29">
        <v>0.02</v>
      </c>
      <c r="M17" s="24">
        <v>0.02</v>
      </c>
      <c r="N17" s="45"/>
    </row>
    <row r="18" spans="1:20" x14ac:dyDescent="0.3">
      <c r="A18" s="41" t="s">
        <v>135</v>
      </c>
      <c r="B18" s="194" t="s">
        <v>136</v>
      </c>
      <c r="C18" s="194"/>
      <c r="D18" s="194"/>
      <c r="E18" s="194" t="s">
        <v>137</v>
      </c>
      <c r="F18" s="194"/>
      <c r="G18" s="194"/>
      <c r="H18" s="194" t="s">
        <v>139</v>
      </c>
      <c r="I18" s="194"/>
      <c r="J18" s="194"/>
      <c r="K18" s="194" t="s">
        <v>138</v>
      </c>
      <c r="L18" s="194"/>
      <c r="M18" s="194"/>
      <c r="N18" s="150" t="s">
        <v>265</v>
      </c>
    </row>
    <row r="19" spans="1:20" x14ac:dyDescent="0.3">
      <c r="A19" s="166" t="s">
        <v>261</v>
      </c>
      <c r="B19" s="28">
        <v>0</v>
      </c>
      <c r="C19" s="29">
        <v>0</v>
      </c>
      <c r="D19" s="24">
        <v>-1</v>
      </c>
      <c r="E19" s="28">
        <v>0</v>
      </c>
      <c r="F19" s="29">
        <v>0</v>
      </c>
      <c r="G19" s="24">
        <v>-1</v>
      </c>
      <c r="H19" s="28">
        <v>0</v>
      </c>
      <c r="I19" s="29">
        <v>0</v>
      </c>
      <c r="J19" s="24">
        <v>1</v>
      </c>
      <c r="K19" s="28">
        <v>1</v>
      </c>
      <c r="L19" s="29">
        <v>0</v>
      </c>
      <c r="M19" s="24">
        <v>0</v>
      </c>
      <c r="N19" s="149">
        <v>2</v>
      </c>
    </row>
    <row r="20" spans="1:20" x14ac:dyDescent="0.3">
      <c r="A20" s="166"/>
      <c r="B20" s="17">
        <v>0</v>
      </c>
      <c r="C20">
        <v>1</v>
      </c>
      <c r="D20" s="16">
        <v>0</v>
      </c>
      <c r="E20" s="17">
        <v>0</v>
      </c>
      <c r="F20">
        <v>1</v>
      </c>
      <c r="G20" s="16">
        <v>0</v>
      </c>
      <c r="H20" s="17">
        <v>0</v>
      </c>
      <c r="I20">
        <v>-1</v>
      </c>
      <c r="J20" s="16">
        <v>0</v>
      </c>
      <c r="K20" s="17">
        <v>0</v>
      </c>
      <c r="L20">
        <v>1</v>
      </c>
      <c r="M20" s="16">
        <v>0</v>
      </c>
      <c r="N20" s="45"/>
    </row>
    <row r="21" spans="1:20" x14ac:dyDescent="0.3">
      <c r="A21" s="166"/>
      <c r="B21" s="18">
        <v>1</v>
      </c>
      <c r="C21" s="19">
        <v>0</v>
      </c>
      <c r="D21" s="20">
        <v>0</v>
      </c>
      <c r="E21" s="18">
        <v>1</v>
      </c>
      <c r="F21" s="19">
        <v>0</v>
      </c>
      <c r="G21" s="20">
        <v>0</v>
      </c>
      <c r="H21" s="18">
        <v>1</v>
      </c>
      <c r="I21" s="19">
        <v>0</v>
      </c>
      <c r="J21" s="20">
        <v>0</v>
      </c>
      <c r="K21" s="18">
        <v>0</v>
      </c>
      <c r="L21" s="19">
        <v>0</v>
      </c>
      <c r="M21" s="20">
        <v>1</v>
      </c>
      <c r="N21" s="45"/>
    </row>
    <row r="22" spans="1:20" x14ac:dyDescent="0.3">
      <c r="A22" s="46" t="s">
        <v>230</v>
      </c>
      <c r="B22" s="30">
        <v>2.0000000000000001E-4</v>
      </c>
      <c r="C22" s="31">
        <v>2.0000000000000001E-4</v>
      </c>
      <c r="D22" s="32">
        <v>2.0000000000000001E-4</v>
      </c>
      <c r="E22" s="30">
        <v>2.0000000000000001E-4</v>
      </c>
      <c r="F22" s="31">
        <v>2.0000000000000001E-4</v>
      </c>
      <c r="G22" s="32">
        <v>2.0000000000000001E-4</v>
      </c>
      <c r="H22" s="30">
        <v>2.0000000000000001E-4</v>
      </c>
      <c r="I22" s="31">
        <v>2.0000000000000001E-4</v>
      </c>
      <c r="J22" s="32">
        <v>2.0000000000000001E-4</v>
      </c>
      <c r="K22" s="30">
        <v>2.0000000000000001E-4</v>
      </c>
      <c r="L22" s="31">
        <v>2.0000000000000001E-4</v>
      </c>
      <c r="M22" s="32">
        <v>2.0000000000000001E-4</v>
      </c>
      <c r="N22" s="45"/>
    </row>
    <row r="23" spans="1:20" x14ac:dyDescent="0.3">
      <c r="A23" s="166" t="s">
        <v>260</v>
      </c>
      <c r="B23" s="33">
        <v>2.3999999999999999E-6</v>
      </c>
      <c r="C23" s="34">
        <v>2.12E-5</v>
      </c>
      <c r="D23" s="35">
        <v>4.18E-5</v>
      </c>
      <c r="E23" s="33">
        <v>2.6400000000000001E-6</v>
      </c>
      <c r="F23" s="34">
        <v>2.0299999999999999E-5</v>
      </c>
      <c r="G23" s="35">
        <v>4.0399999999999999E-5</v>
      </c>
      <c r="H23" s="33">
        <v>4.16E-6</v>
      </c>
      <c r="I23" s="34">
        <v>-1.8099999999999999E-5</v>
      </c>
      <c r="J23" s="35">
        <v>-3.8399999999999998E-5</v>
      </c>
      <c r="K23" s="33">
        <v>0</v>
      </c>
      <c r="L23" s="34">
        <v>0</v>
      </c>
      <c r="M23" s="35">
        <v>0</v>
      </c>
      <c r="N23" s="45"/>
    </row>
    <row r="24" spans="1:20" x14ac:dyDescent="0.3">
      <c r="A24" s="166"/>
      <c r="B24" s="36">
        <v>-1.0399999999999999E-4</v>
      </c>
      <c r="C24" s="148">
        <v>-2.22E-4</v>
      </c>
      <c r="D24" s="37">
        <v>-9.8400000000000007E-4</v>
      </c>
      <c r="E24" s="36">
        <v>-1.2E-4</v>
      </c>
      <c r="F24" s="148">
        <v>-1.3799999999999999E-4</v>
      </c>
      <c r="G24" s="37">
        <v>-9.7300000000000002E-4</v>
      </c>
      <c r="H24" s="36">
        <v>4.16E-6</v>
      </c>
      <c r="I24" s="148">
        <v>3.6999999999999998E-5</v>
      </c>
      <c r="J24" s="37">
        <v>9.4899999999999997E-4</v>
      </c>
      <c r="K24" s="36">
        <v>0</v>
      </c>
      <c r="L24" s="148">
        <v>0</v>
      </c>
      <c r="M24" s="37">
        <v>0</v>
      </c>
      <c r="N24" s="45"/>
    </row>
    <row r="25" spans="1:20" x14ac:dyDescent="0.3">
      <c r="A25" s="166"/>
      <c r="B25" s="36">
        <v>1.2700000000000001E-3</v>
      </c>
      <c r="C25" s="148">
        <v>-4.6900000000000002E-5</v>
      </c>
      <c r="D25" s="37">
        <v>-2.31E-4</v>
      </c>
      <c r="E25" s="36">
        <v>1.4E-3</v>
      </c>
      <c r="F25" s="148">
        <v>4.2799999999999997E-6</v>
      </c>
      <c r="G25" s="37">
        <v>-1.65E-4</v>
      </c>
      <c r="H25" s="36">
        <v>1.5900000000000001E-3</v>
      </c>
      <c r="I25" s="148">
        <v>1.56E-5</v>
      </c>
      <c r="J25" s="37">
        <v>-6.0300000000000002E-5</v>
      </c>
      <c r="K25" s="36">
        <v>0</v>
      </c>
      <c r="L25" s="148">
        <v>0</v>
      </c>
      <c r="M25" s="37">
        <v>0</v>
      </c>
      <c r="N25" s="45"/>
    </row>
    <row r="26" spans="1:20" x14ac:dyDescent="0.3">
      <c r="A26" s="166"/>
      <c r="B26" s="36">
        <v>5.4699999999999996E-4</v>
      </c>
      <c r="C26" s="148">
        <v>-8.3299999999999999E-6</v>
      </c>
      <c r="D26" s="37">
        <v>-5.4799999999999997E-5</v>
      </c>
      <c r="E26" s="36">
        <v>5.7300000000000005E-4</v>
      </c>
      <c r="F26" s="148">
        <v>8.8799999999999997E-6</v>
      </c>
      <c r="G26" s="37">
        <v>-2.0000000000000002E-5</v>
      </c>
      <c r="H26" s="36">
        <v>6.1600000000000001E-4</v>
      </c>
      <c r="I26" s="148">
        <v>4.4000000000000002E-6</v>
      </c>
      <c r="J26" s="37">
        <v>-5.1799999999999999E-5</v>
      </c>
      <c r="K26" s="36">
        <v>0</v>
      </c>
      <c r="L26" s="148">
        <v>0</v>
      </c>
      <c r="M26" s="37">
        <v>0</v>
      </c>
      <c r="N26" s="45"/>
    </row>
    <row r="27" spans="1:20" x14ac:dyDescent="0.3">
      <c r="A27" s="166"/>
      <c r="B27" s="36">
        <v>0</v>
      </c>
      <c r="C27" s="148">
        <v>0</v>
      </c>
      <c r="D27" s="37">
        <v>0</v>
      </c>
      <c r="E27" s="36">
        <v>0</v>
      </c>
      <c r="F27" s="148">
        <v>0</v>
      </c>
      <c r="G27" s="37">
        <v>0</v>
      </c>
      <c r="H27" s="36">
        <v>0</v>
      </c>
      <c r="I27" s="148">
        <v>0</v>
      </c>
      <c r="J27" s="37">
        <v>0</v>
      </c>
      <c r="K27" s="36">
        <v>0</v>
      </c>
      <c r="L27" s="148">
        <v>0</v>
      </c>
      <c r="M27" s="37">
        <v>0</v>
      </c>
      <c r="N27" s="45"/>
    </row>
    <row r="28" spans="1:20" ht="14.5" thickBot="1" x14ac:dyDescent="0.35">
      <c r="A28" s="170"/>
      <c r="B28" s="52">
        <v>0</v>
      </c>
      <c r="C28" s="53">
        <v>0</v>
      </c>
      <c r="D28" s="54">
        <v>0</v>
      </c>
      <c r="E28" s="52">
        <v>0</v>
      </c>
      <c r="F28" s="53">
        <v>0</v>
      </c>
      <c r="G28" s="54">
        <v>0</v>
      </c>
      <c r="H28" s="52">
        <v>0</v>
      </c>
      <c r="I28" s="53">
        <v>0</v>
      </c>
      <c r="J28" s="54">
        <v>0</v>
      </c>
      <c r="K28" s="52">
        <v>0</v>
      </c>
      <c r="L28" s="53">
        <v>0</v>
      </c>
      <c r="M28" s="54">
        <v>0</v>
      </c>
      <c r="N28" s="50"/>
    </row>
    <row r="29" spans="1:20" x14ac:dyDescent="0.3">
      <c r="A29" s="41" t="s">
        <v>140</v>
      </c>
      <c r="B29" s="194" t="s">
        <v>141</v>
      </c>
      <c r="C29" s="194"/>
      <c r="D29" s="194"/>
      <c r="E29" s="194" t="s">
        <v>142</v>
      </c>
      <c r="F29" s="194"/>
      <c r="G29" s="194"/>
      <c r="H29" s="194" t="s">
        <v>143</v>
      </c>
      <c r="I29" s="194"/>
      <c r="J29" s="194"/>
      <c r="K29" s="194" t="s">
        <v>144</v>
      </c>
      <c r="L29" s="194"/>
      <c r="M29" s="194"/>
      <c r="N29" s="194" t="s">
        <v>149</v>
      </c>
      <c r="O29" s="194"/>
      <c r="P29" s="194"/>
      <c r="Q29" s="194" t="s">
        <v>150</v>
      </c>
      <c r="R29" s="194"/>
      <c r="S29" s="194"/>
      <c r="T29" s="152" t="s">
        <v>266</v>
      </c>
    </row>
    <row r="30" spans="1:20" x14ac:dyDescent="0.3">
      <c r="A30" s="166" t="s">
        <v>261</v>
      </c>
      <c r="B30" s="17">
        <v>0</v>
      </c>
      <c r="C30">
        <v>0</v>
      </c>
      <c r="D30" s="16">
        <v>1</v>
      </c>
      <c r="E30" s="28">
        <v>0</v>
      </c>
      <c r="F30" s="29">
        <v>1</v>
      </c>
      <c r="G30" s="24">
        <v>0</v>
      </c>
      <c r="H30" s="28">
        <v>0</v>
      </c>
      <c r="I30" s="29">
        <v>1</v>
      </c>
      <c r="J30" s="24">
        <v>0</v>
      </c>
      <c r="K30" s="28">
        <v>0</v>
      </c>
      <c r="L30" s="29">
        <v>1</v>
      </c>
      <c r="M30" s="24">
        <v>0</v>
      </c>
      <c r="N30" s="28">
        <v>0</v>
      </c>
      <c r="O30" s="29">
        <v>1</v>
      </c>
      <c r="P30" s="24">
        <v>0</v>
      </c>
      <c r="Q30" s="28">
        <v>1</v>
      </c>
      <c r="R30" s="29">
        <v>0</v>
      </c>
      <c r="S30" s="24">
        <v>0</v>
      </c>
      <c r="T30" s="151">
        <v>3</v>
      </c>
    </row>
    <row r="31" spans="1:20" x14ac:dyDescent="0.3">
      <c r="A31" s="166"/>
      <c r="B31" s="17">
        <v>-1</v>
      </c>
      <c r="C31">
        <v>0</v>
      </c>
      <c r="D31" s="16">
        <v>0</v>
      </c>
      <c r="E31" s="17">
        <v>-1</v>
      </c>
      <c r="F31">
        <v>0</v>
      </c>
      <c r="G31" s="16">
        <v>0</v>
      </c>
      <c r="H31" s="17">
        <v>-1</v>
      </c>
      <c r="I31">
        <v>0</v>
      </c>
      <c r="J31" s="16">
        <v>0</v>
      </c>
      <c r="K31" s="17">
        <v>1</v>
      </c>
      <c r="L31">
        <v>0</v>
      </c>
      <c r="M31" s="16">
        <v>0</v>
      </c>
      <c r="N31" s="17">
        <v>1</v>
      </c>
      <c r="O31">
        <v>0</v>
      </c>
      <c r="P31" s="16">
        <v>0</v>
      </c>
      <c r="Q31" s="17">
        <v>0</v>
      </c>
      <c r="R31">
        <v>1</v>
      </c>
      <c r="S31" s="16">
        <v>0</v>
      </c>
      <c r="T31" s="45"/>
    </row>
    <row r="32" spans="1:20" x14ac:dyDescent="0.3">
      <c r="A32" s="166"/>
      <c r="B32" s="18">
        <v>0</v>
      </c>
      <c r="C32" s="19">
        <v>-1</v>
      </c>
      <c r="D32" s="20">
        <v>0</v>
      </c>
      <c r="E32" s="18">
        <v>0</v>
      </c>
      <c r="F32" s="19">
        <v>0</v>
      </c>
      <c r="G32" s="20">
        <v>1</v>
      </c>
      <c r="H32" s="18">
        <v>0</v>
      </c>
      <c r="I32" s="19">
        <v>0</v>
      </c>
      <c r="J32" s="20">
        <v>1</v>
      </c>
      <c r="K32" s="18">
        <v>0</v>
      </c>
      <c r="L32" s="19">
        <v>0</v>
      </c>
      <c r="M32" s="20">
        <v>-1</v>
      </c>
      <c r="N32" s="18">
        <v>0</v>
      </c>
      <c r="O32" s="19">
        <v>0</v>
      </c>
      <c r="P32" s="20">
        <v>-1</v>
      </c>
      <c r="Q32" s="18">
        <v>0</v>
      </c>
      <c r="R32" s="19">
        <v>0</v>
      </c>
      <c r="S32" s="20">
        <v>1</v>
      </c>
      <c r="T32" s="45"/>
    </row>
    <row r="33" spans="1:20" x14ac:dyDescent="0.3">
      <c r="A33" s="46" t="s">
        <v>145</v>
      </c>
      <c r="B33" s="25">
        <f>1/SQRT(2)</f>
        <v>0.70710678118654746</v>
      </c>
      <c r="C33" s="31">
        <v>0</v>
      </c>
      <c r="D33" s="27">
        <f>-1/SQRT(2)</f>
        <v>-0.70710678118654746</v>
      </c>
      <c r="T33" s="45"/>
    </row>
    <row r="34" spans="1:20" x14ac:dyDescent="0.3">
      <c r="A34" s="46" t="s">
        <v>146</v>
      </c>
      <c r="B34" s="33">
        <v>0</v>
      </c>
      <c r="C34" s="29">
        <f>1/SQRT(2)</f>
        <v>0.70710678118654746</v>
      </c>
      <c r="D34" s="24">
        <f>-1/SQRT(2)</f>
        <v>-0.70710678118654746</v>
      </c>
      <c r="T34" s="45"/>
    </row>
    <row r="35" spans="1:20" x14ac:dyDescent="0.3">
      <c r="A35" s="55" t="s">
        <v>147</v>
      </c>
      <c r="B35" s="28">
        <f>-1/SQRT(2)</f>
        <v>-0.70710678118654746</v>
      </c>
      <c r="C35" s="29">
        <v>0</v>
      </c>
      <c r="D35" s="24">
        <f>-1/SQRT(2)</f>
        <v>-0.70710678118654746</v>
      </c>
      <c r="T35" s="45"/>
    </row>
    <row r="36" spans="1:20" x14ac:dyDescent="0.3">
      <c r="A36" s="55" t="s">
        <v>148</v>
      </c>
      <c r="B36" s="25">
        <v>0</v>
      </c>
      <c r="C36" s="26">
        <f>-1/SQRT(2)</f>
        <v>-0.70710678118654746</v>
      </c>
      <c r="D36" s="27">
        <f>-1/SQRT(2)</f>
        <v>-0.70710678118654746</v>
      </c>
      <c r="T36" s="45"/>
    </row>
    <row r="37" spans="1:20" x14ac:dyDescent="0.3">
      <c r="A37" s="46" t="s">
        <v>231</v>
      </c>
      <c r="B37" s="15">
        <v>9.5699999999999993E-2</v>
      </c>
      <c r="T37" s="45"/>
    </row>
    <row r="38" spans="1:20" x14ac:dyDescent="0.3">
      <c r="A38" s="46" t="s">
        <v>234</v>
      </c>
      <c r="B38" s="15">
        <v>3.0000000000000001E-3</v>
      </c>
      <c r="T38" s="45"/>
    </row>
    <row r="39" spans="1:20" x14ac:dyDescent="0.3">
      <c r="A39" s="46" t="s">
        <v>232</v>
      </c>
      <c r="B39" s="15">
        <v>0.104</v>
      </c>
      <c r="T39" s="45"/>
    </row>
    <row r="40" spans="1:20" x14ac:dyDescent="0.3">
      <c r="A40" s="46" t="s">
        <v>233</v>
      </c>
      <c r="B40" s="15">
        <v>2.5</v>
      </c>
      <c r="T40" s="45"/>
    </row>
    <row r="41" spans="1:20" ht="14.5" thickBot="1" x14ac:dyDescent="0.35">
      <c r="A41" s="47" t="s">
        <v>151</v>
      </c>
      <c r="B41" s="56">
        <v>1</v>
      </c>
      <c r="C41" s="57">
        <v>2</v>
      </c>
      <c r="D41" s="57">
        <v>3</v>
      </c>
      <c r="E41" s="57">
        <v>4</v>
      </c>
      <c r="F41" s="57">
        <v>5</v>
      </c>
      <c r="G41" s="58">
        <v>6</v>
      </c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50"/>
    </row>
  </sheetData>
  <mergeCells count="20">
    <mergeCell ref="K18:M18"/>
    <mergeCell ref="B13:D13"/>
    <mergeCell ref="E13:G13"/>
    <mergeCell ref="H13:J13"/>
    <mergeCell ref="K13:M13"/>
    <mergeCell ref="A3:A6"/>
    <mergeCell ref="A14:A16"/>
    <mergeCell ref="B18:D18"/>
    <mergeCell ref="E18:G18"/>
    <mergeCell ref="H18:J18"/>
    <mergeCell ref="A7:A9"/>
    <mergeCell ref="A30:A32"/>
    <mergeCell ref="N29:P29"/>
    <mergeCell ref="Q29:S29"/>
    <mergeCell ref="A19:A21"/>
    <mergeCell ref="A23:A28"/>
    <mergeCell ref="B29:D29"/>
    <mergeCell ref="E29:G29"/>
    <mergeCell ref="H29:J29"/>
    <mergeCell ref="K29:M29"/>
  </mergeCells>
  <phoneticPr fontId="1" type="noConversion"/>
  <conditionalFormatting sqref="F2 B2:E12">
    <cfRule type="containsBlanks" dxfId="5" priority="1">
      <formula>LEN(TRIM(B2))=0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966EC-4E2F-4E36-85C3-E3E0DD1B8792}">
  <dimension ref="A1:N56"/>
  <sheetViews>
    <sheetView zoomScaleNormal="100" workbookViewId="0">
      <selection activeCell="J11" sqref="J11"/>
    </sheetView>
  </sheetViews>
  <sheetFormatPr defaultRowHeight="14" x14ac:dyDescent="0.3"/>
  <cols>
    <col min="1" max="1" width="37.75" customWidth="1"/>
    <col min="2" max="7" width="12.58203125" customWidth="1"/>
    <col min="8" max="8" width="14.58203125" style="155" customWidth="1"/>
  </cols>
  <sheetData>
    <row r="1" spans="1:14" x14ac:dyDescent="0.3">
      <c r="A1" s="41" t="s">
        <v>152</v>
      </c>
      <c r="B1" s="80" t="s">
        <v>153</v>
      </c>
      <c r="C1" s="80" t="s">
        <v>154</v>
      </c>
      <c r="D1" s="80" t="s">
        <v>155</v>
      </c>
      <c r="E1" s="80" t="s">
        <v>156</v>
      </c>
      <c r="F1" s="80" t="s">
        <v>157</v>
      </c>
      <c r="G1" s="80" t="s">
        <v>158</v>
      </c>
      <c r="H1" s="157" t="s">
        <v>268</v>
      </c>
    </row>
    <row r="2" spans="1:14" x14ac:dyDescent="0.3">
      <c r="A2" s="198" t="s">
        <v>262</v>
      </c>
      <c r="B2" s="28">
        <v>0.34200000000000003</v>
      </c>
      <c r="C2" s="29">
        <v>0.34200000000000003</v>
      </c>
      <c r="D2" s="29">
        <v>0.34200000000000003</v>
      </c>
      <c r="E2" s="29">
        <v>0.34200000000000003</v>
      </c>
      <c r="F2" s="29">
        <v>0</v>
      </c>
      <c r="G2" s="24">
        <v>0</v>
      </c>
      <c r="H2" s="149">
        <v>4</v>
      </c>
    </row>
    <row r="3" spans="1:14" x14ac:dyDescent="0.3">
      <c r="A3" s="198"/>
      <c r="B3" s="17">
        <v>0.7198</v>
      </c>
      <c r="C3">
        <v>0.7198</v>
      </c>
      <c r="D3">
        <v>-0.7198</v>
      </c>
      <c r="E3">
        <v>-0.7198</v>
      </c>
      <c r="F3">
        <v>0</v>
      </c>
      <c r="G3" s="16">
        <v>0</v>
      </c>
      <c r="H3" s="43"/>
    </row>
    <row r="4" spans="1:14" x14ac:dyDescent="0.3">
      <c r="A4" s="198"/>
      <c r="B4" s="18">
        <v>0.60399999999999998</v>
      </c>
      <c r="C4" s="19">
        <v>-0.60399999999999998</v>
      </c>
      <c r="D4" s="19">
        <v>0.60399999999999998</v>
      </c>
      <c r="E4" s="19">
        <v>-0.60399999999999998</v>
      </c>
      <c r="F4" s="19">
        <v>0</v>
      </c>
      <c r="G4" s="20">
        <v>0</v>
      </c>
      <c r="H4" s="43"/>
    </row>
    <row r="5" spans="1:14" x14ac:dyDescent="0.3">
      <c r="A5" s="55" t="s">
        <v>256</v>
      </c>
      <c r="B5" s="17">
        <v>2</v>
      </c>
      <c r="C5">
        <v>2</v>
      </c>
      <c r="D5">
        <v>2</v>
      </c>
      <c r="E5">
        <v>2</v>
      </c>
      <c r="F5">
        <v>2</v>
      </c>
      <c r="G5" s="16">
        <v>4</v>
      </c>
      <c r="H5" s="43"/>
    </row>
    <row r="6" spans="1:14" x14ac:dyDescent="0.3">
      <c r="A6" s="55" t="s">
        <v>257</v>
      </c>
      <c r="B6" s="25">
        <v>0.1</v>
      </c>
      <c r="C6" s="26">
        <v>0.1</v>
      </c>
      <c r="D6" s="26">
        <v>0.1</v>
      </c>
      <c r="E6" s="26">
        <v>0.1</v>
      </c>
      <c r="F6" s="26">
        <v>0.1</v>
      </c>
      <c r="G6" s="27">
        <v>0.1</v>
      </c>
      <c r="H6" s="43"/>
    </row>
    <row r="7" spans="1:14" x14ac:dyDescent="0.3">
      <c r="A7" s="46" t="s">
        <v>258</v>
      </c>
      <c r="B7" s="25">
        <v>3.1830988618379102E-3</v>
      </c>
      <c r="C7" s="25">
        <v>3.1830988618379102E-3</v>
      </c>
      <c r="D7" s="25">
        <v>3.1830988618379102E-3</v>
      </c>
      <c r="E7" s="25">
        <v>3.1830988618379102E-3</v>
      </c>
      <c r="F7" s="26">
        <v>6.4000000000000003E-3</v>
      </c>
      <c r="G7" s="27">
        <v>6.4000000000000003E-3</v>
      </c>
      <c r="H7" s="43"/>
    </row>
    <row r="8" spans="1:14" x14ac:dyDescent="0.3">
      <c r="A8" s="46" t="s">
        <v>236</v>
      </c>
      <c r="B8" s="25">
        <v>0</v>
      </c>
      <c r="C8" s="26">
        <v>0</v>
      </c>
      <c r="D8" s="26">
        <v>0</v>
      </c>
      <c r="E8" s="26">
        <v>0</v>
      </c>
      <c r="F8" s="26">
        <v>0</v>
      </c>
      <c r="G8" s="27">
        <v>0</v>
      </c>
      <c r="H8" s="43"/>
    </row>
    <row r="9" spans="1:14" ht="14.5" thickBot="1" x14ac:dyDescent="0.35">
      <c r="A9" s="47" t="s">
        <v>235</v>
      </c>
      <c r="B9" s="81">
        <v>1</v>
      </c>
      <c r="C9" s="49"/>
      <c r="D9" s="49"/>
      <c r="E9" s="49"/>
      <c r="F9" s="49"/>
      <c r="G9" s="145"/>
      <c r="H9" s="147"/>
    </row>
    <row r="10" spans="1:14" x14ac:dyDescent="0.3">
      <c r="A10" s="41" t="s">
        <v>159</v>
      </c>
      <c r="B10" s="80" t="s">
        <v>160</v>
      </c>
      <c r="C10" s="80" t="s">
        <v>161</v>
      </c>
      <c r="D10" s="80" t="s">
        <v>162</v>
      </c>
      <c r="E10" s="80" t="s">
        <v>163</v>
      </c>
      <c r="F10" s="80" t="s">
        <v>164</v>
      </c>
      <c r="G10" s="80" t="s">
        <v>165</v>
      </c>
      <c r="H10" s="157" t="s">
        <v>269</v>
      </c>
    </row>
    <row r="11" spans="1:14" x14ac:dyDescent="0.3">
      <c r="A11" s="198" t="s">
        <v>261</v>
      </c>
      <c r="B11" s="28">
        <v>1</v>
      </c>
      <c r="C11" s="29">
        <v>0</v>
      </c>
      <c r="D11" s="29">
        <v>0</v>
      </c>
      <c r="E11" s="29">
        <v>0</v>
      </c>
      <c r="F11" s="29">
        <v>0</v>
      </c>
      <c r="G11" s="24">
        <v>0</v>
      </c>
      <c r="H11" s="149">
        <v>3</v>
      </c>
    </row>
    <row r="12" spans="1:14" x14ac:dyDescent="0.3">
      <c r="A12" s="198"/>
      <c r="B12" s="17">
        <v>0</v>
      </c>
      <c r="C12">
        <v>1</v>
      </c>
      <c r="D12">
        <v>0</v>
      </c>
      <c r="E12">
        <v>0</v>
      </c>
      <c r="F12">
        <v>0</v>
      </c>
      <c r="G12" s="16">
        <v>0</v>
      </c>
      <c r="H12" s="43"/>
    </row>
    <row r="13" spans="1:14" x14ac:dyDescent="0.3">
      <c r="A13" s="198"/>
      <c r="B13" s="17">
        <v>0</v>
      </c>
      <c r="C13">
        <v>0</v>
      </c>
      <c r="D13">
        <v>1</v>
      </c>
      <c r="E13">
        <v>0</v>
      </c>
      <c r="F13">
        <v>0</v>
      </c>
      <c r="G13" s="16">
        <v>0</v>
      </c>
      <c r="H13" s="43"/>
      <c r="N13">
        <v>1</v>
      </c>
    </row>
    <row r="14" spans="1:14" x14ac:dyDescent="0.3">
      <c r="A14" s="55" t="s">
        <v>259</v>
      </c>
      <c r="B14" s="28">
        <v>15</v>
      </c>
      <c r="C14" s="29">
        <v>15</v>
      </c>
      <c r="D14" s="29">
        <v>15</v>
      </c>
      <c r="E14" s="29">
        <v>0</v>
      </c>
      <c r="F14" s="29">
        <v>0</v>
      </c>
      <c r="G14" s="24">
        <v>0</v>
      </c>
      <c r="H14" s="43"/>
    </row>
    <row r="15" spans="1:14" ht="28" x14ac:dyDescent="0.3">
      <c r="A15" s="140" t="s">
        <v>274</v>
      </c>
      <c r="B15" s="141">
        <v>9.0909090909090995E-2</v>
      </c>
      <c r="C15" s="141">
        <v>9.0909090909090995E-2</v>
      </c>
      <c r="D15" s="141">
        <v>9.0909090909090995E-2</v>
      </c>
      <c r="E15" s="142">
        <v>0</v>
      </c>
      <c r="F15" s="142">
        <v>0</v>
      </c>
      <c r="G15" s="153">
        <v>0</v>
      </c>
      <c r="H15" s="43"/>
    </row>
    <row r="16" spans="1:14" ht="14.5" thickBot="1" x14ac:dyDescent="0.35">
      <c r="A16" s="109" t="s">
        <v>217</v>
      </c>
      <c r="B16" s="143">
        <v>0</v>
      </c>
      <c r="C16" s="108"/>
      <c r="D16" s="108"/>
      <c r="E16" s="108"/>
      <c r="F16" s="108"/>
      <c r="G16" s="154"/>
      <c r="H16" s="147"/>
    </row>
    <row r="17" spans="1:8" x14ac:dyDescent="0.3">
      <c r="A17" s="114" t="s">
        <v>169</v>
      </c>
      <c r="B17" s="111" t="s">
        <v>171</v>
      </c>
      <c r="C17" s="111" t="s">
        <v>172</v>
      </c>
      <c r="D17" s="111" t="s">
        <v>173</v>
      </c>
      <c r="E17" s="119" t="s">
        <v>174</v>
      </c>
      <c r="F17" s="119" t="s">
        <v>214</v>
      </c>
      <c r="G17" s="111" t="s">
        <v>215</v>
      </c>
      <c r="H17" s="157" t="s">
        <v>267</v>
      </c>
    </row>
    <row r="18" spans="1:8" x14ac:dyDescent="0.3">
      <c r="A18" s="46" t="s">
        <v>177</v>
      </c>
      <c r="B18" s="21">
        <v>123</v>
      </c>
      <c r="G18" s="16"/>
      <c r="H18" s="149">
        <v>0</v>
      </c>
    </row>
    <row r="19" spans="1:8" x14ac:dyDescent="0.3">
      <c r="A19" s="46" t="s">
        <v>175</v>
      </c>
      <c r="B19" s="25">
        <v>-1</v>
      </c>
      <c r="C19" s="26">
        <v>-1</v>
      </c>
      <c r="D19" s="26">
        <v>-1</v>
      </c>
      <c r="E19" s="26">
        <v>-1</v>
      </c>
      <c r="F19" s="26">
        <v>-1</v>
      </c>
      <c r="G19" s="27">
        <v>-1</v>
      </c>
      <c r="H19" s="43"/>
    </row>
    <row r="20" spans="1:8" x14ac:dyDescent="0.3">
      <c r="A20" s="46" t="s">
        <v>176</v>
      </c>
      <c r="B20" s="25">
        <v>1</v>
      </c>
      <c r="C20" s="26">
        <v>1</v>
      </c>
      <c r="D20" s="26">
        <v>1</v>
      </c>
      <c r="E20" s="26">
        <v>1</v>
      </c>
      <c r="F20" s="26">
        <v>1</v>
      </c>
      <c r="G20" s="27">
        <v>1</v>
      </c>
      <c r="H20" s="43"/>
    </row>
    <row r="21" spans="1:8" x14ac:dyDescent="0.3">
      <c r="A21" s="46" t="s">
        <v>178</v>
      </c>
      <c r="B21" s="25">
        <v>1.8</v>
      </c>
      <c r="C21" s="26">
        <v>1.8</v>
      </c>
      <c r="D21" s="26">
        <v>1.8</v>
      </c>
      <c r="E21" s="26">
        <v>1.8</v>
      </c>
      <c r="F21" s="26">
        <v>1.8</v>
      </c>
      <c r="G21" s="27">
        <v>1.8</v>
      </c>
      <c r="H21" s="43"/>
    </row>
    <row r="22" spans="1:8" x14ac:dyDescent="0.3">
      <c r="A22" s="46" t="s">
        <v>179</v>
      </c>
      <c r="B22" s="25">
        <v>80</v>
      </c>
      <c r="C22" s="26">
        <v>80</v>
      </c>
      <c r="D22" s="26">
        <v>80</v>
      </c>
      <c r="E22" s="26">
        <v>80</v>
      </c>
      <c r="F22" s="26">
        <v>80</v>
      </c>
      <c r="G22" s="27">
        <v>80</v>
      </c>
      <c r="H22" s="43"/>
    </row>
    <row r="23" spans="1:8" x14ac:dyDescent="0.3">
      <c r="A23" s="46" t="s">
        <v>245</v>
      </c>
      <c r="B23" s="25">
        <v>0</v>
      </c>
      <c r="C23" s="26">
        <v>0</v>
      </c>
      <c r="D23" s="26">
        <v>0</v>
      </c>
      <c r="E23" s="26">
        <v>0</v>
      </c>
      <c r="F23" s="26">
        <v>0</v>
      </c>
      <c r="G23" s="27">
        <v>0</v>
      </c>
      <c r="H23" s="43"/>
    </row>
    <row r="24" spans="1:8" x14ac:dyDescent="0.3">
      <c r="A24" s="46" t="s">
        <v>243</v>
      </c>
      <c r="B24" s="25">
        <v>356.04489999999998</v>
      </c>
      <c r="C24" s="26">
        <v>336.43979999999999</v>
      </c>
      <c r="D24" s="26">
        <v>0</v>
      </c>
      <c r="E24" s="26">
        <v>0</v>
      </c>
      <c r="F24" s="26">
        <v>0</v>
      </c>
      <c r="G24" s="27">
        <v>0</v>
      </c>
      <c r="H24" s="43"/>
    </row>
    <row r="25" spans="1:8" x14ac:dyDescent="0.3">
      <c r="A25" s="166" t="s">
        <v>244</v>
      </c>
      <c r="B25" s="28">
        <v>-6.1017000000000001</v>
      </c>
      <c r="C25" s="29">
        <v>-6.1017000000000001</v>
      </c>
      <c r="D25" s="29">
        <v>-5.9210000000000003</v>
      </c>
      <c r="E25" s="29">
        <v>-5.9210000000000003</v>
      </c>
      <c r="F25" s="29">
        <v>-5.9210000000000003</v>
      </c>
      <c r="G25" s="24">
        <v>-5.9210000000000003</v>
      </c>
      <c r="H25" s="43"/>
    </row>
    <row r="26" spans="1:8" x14ac:dyDescent="0.3">
      <c r="A26" s="166"/>
      <c r="B26" s="18">
        <v>6.1017000000000001</v>
      </c>
      <c r="C26" s="19">
        <v>6.1017000000000001</v>
      </c>
      <c r="D26" s="19">
        <v>5.9210000000000003</v>
      </c>
      <c r="E26" s="19">
        <v>5.9210000000000003</v>
      </c>
      <c r="F26" s="19">
        <v>5.9210000000000003</v>
      </c>
      <c r="G26" s="20">
        <v>5.9210000000000003</v>
      </c>
      <c r="H26" s="43"/>
    </row>
    <row r="27" spans="1:8" x14ac:dyDescent="0.3">
      <c r="A27" s="166" t="s">
        <v>249</v>
      </c>
      <c r="B27" s="28">
        <v>-7.8643999999999998</v>
      </c>
      <c r="C27" s="29">
        <v>-7.8643999999999998</v>
      </c>
      <c r="D27" s="29">
        <v>-7.6555999999999997</v>
      </c>
      <c r="E27" s="29">
        <v>-7.6555999999999997</v>
      </c>
      <c r="F27" s="29">
        <v>-7.6555999999999997</v>
      </c>
      <c r="G27" s="24">
        <v>-7.6555999999999997</v>
      </c>
      <c r="H27" s="43"/>
    </row>
    <row r="28" spans="1:8" x14ac:dyDescent="0.3">
      <c r="A28" s="166"/>
      <c r="B28" s="18">
        <v>7.8643999999999998</v>
      </c>
      <c r="C28" s="19">
        <v>7.8643999999999998</v>
      </c>
      <c r="D28" s="19">
        <v>7.6555999999999997</v>
      </c>
      <c r="E28" s="19">
        <v>7.6555999999999997</v>
      </c>
      <c r="F28" s="19">
        <v>7.6555999999999997</v>
      </c>
      <c r="G28" s="20">
        <v>7.6555999999999997</v>
      </c>
      <c r="H28" s="43"/>
    </row>
    <row r="29" spans="1:8" x14ac:dyDescent="0.3">
      <c r="A29" s="46" t="s">
        <v>254</v>
      </c>
      <c r="B29" s="25">
        <v>13</v>
      </c>
      <c r="C29" s="26">
        <v>13</v>
      </c>
      <c r="D29" s="26">
        <v>13</v>
      </c>
      <c r="E29" s="26">
        <v>13</v>
      </c>
      <c r="F29" s="26">
        <v>13</v>
      </c>
      <c r="G29" s="27">
        <v>13</v>
      </c>
      <c r="H29" s="43"/>
    </row>
    <row r="30" spans="1:8" x14ac:dyDescent="0.3">
      <c r="A30" s="46" t="s">
        <v>181</v>
      </c>
      <c r="B30" s="25">
        <v>0</v>
      </c>
      <c r="C30" s="26">
        <v>0</v>
      </c>
      <c r="D30" s="26">
        <v>0</v>
      </c>
      <c r="E30" s="26">
        <v>0</v>
      </c>
      <c r="F30" s="26">
        <v>0</v>
      </c>
      <c r="G30" s="27">
        <v>0</v>
      </c>
      <c r="H30" s="43"/>
    </row>
    <row r="31" spans="1:8" x14ac:dyDescent="0.3">
      <c r="A31" s="46" t="s">
        <v>182</v>
      </c>
      <c r="B31" s="25">
        <v>0</v>
      </c>
      <c r="C31" s="26">
        <v>0</v>
      </c>
      <c r="D31" s="26">
        <v>0</v>
      </c>
      <c r="E31" s="26">
        <v>0</v>
      </c>
      <c r="F31" s="26">
        <v>0</v>
      </c>
      <c r="G31" s="27">
        <v>0</v>
      </c>
      <c r="H31" s="43"/>
    </row>
    <row r="32" spans="1:8" x14ac:dyDescent="0.3">
      <c r="A32" s="46" t="s">
        <v>183</v>
      </c>
      <c r="B32" s="25">
        <v>360000</v>
      </c>
      <c r="C32" s="26">
        <v>360000</v>
      </c>
      <c r="D32" s="26">
        <v>360000</v>
      </c>
      <c r="E32" s="26">
        <v>360000</v>
      </c>
      <c r="F32" s="26">
        <v>360000</v>
      </c>
      <c r="G32" s="27">
        <v>360000</v>
      </c>
      <c r="H32" s="43"/>
    </row>
    <row r="33" spans="1:8" x14ac:dyDescent="0.3">
      <c r="A33" s="46" t="s">
        <v>184</v>
      </c>
      <c r="B33" s="25">
        <v>-360000</v>
      </c>
      <c r="C33" s="26">
        <v>-360000</v>
      </c>
      <c r="D33" s="26">
        <v>-360000</v>
      </c>
      <c r="E33" s="26">
        <v>-360000</v>
      </c>
      <c r="F33" s="26">
        <v>-360000</v>
      </c>
      <c r="G33" s="27">
        <v>-360000</v>
      </c>
      <c r="H33" s="43"/>
    </row>
    <row r="34" spans="1:8" x14ac:dyDescent="0.3">
      <c r="A34" s="46" t="s">
        <v>186</v>
      </c>
      <c r="B34" s="25">
        <v>0</v>
      </c>
      <c r="C34" s="26">
        <v>0</v>
      </c>
      <c r="D34" s="26">
        <v>0</v>
      </c>
      <c r="E34" s="26">
        <v>0</v>
      </c>
      <c r="F34" s="26">
        <v>0</v>
      </c>
      <c r="G34" s="27">
        <v>0</v>
      </c>
      <c r="H34" s="43"/>
    </row>
    <row r="35" spans="1:8" x14ac:dyDescent="0.3">
      <c r="A35" s="46" t="s">
        <v>187</v>
      </c>
      <c r="B35" s="25">
        <v>0</v>
      </c>
      <c r="C35" s="26">
        <v>0</v>
      </c>
      <c r="D35" s="26">
        <v>0</v>
      </c>
      <c r="E35" s="26">
        <v>0</v>
      </c>
      <c r="F35" s="26">
        <v>0</v>
      </c>
      <c r="G35" s="27">
        <v>0</v>
      </c>
      <c r="H35" s="43"/>
    </row>
    <row r="36" spans="1:8" ht="14.5" thickBot="1" x14ac:dyDescent="0.35">
      <c r="A36" s="47" t="s">
        <v>252</v>
      </c>
      <c r="B36" s="48">
        <f>-1136073600+4</f>
        <v>-1136073596</v>
      </c>
      <c r="C36" s="49"/>
      <c r="D36" s="49"/>
      <c r="E36" s="49"/>
      <c r="F36" s="49"/>
      <c r="G36" s="145"/>
      <c r="H36" s="147"/>
    </row>
    <row r="37" spans="1:8" x14ac:dyDescent="0.3">
      <c r="A37" s="120" t="s">
        <v>188</v>
      </c>
      <c r="B37" s="23" t="s">
        <v>209</v>
      </c>
      <c r="C37" s="23" t="s">
        <v>210</v>
      </c>
      <c r="D37" s="23" t="s">
        <v>211</v>
      </c>
      <c r="E37" s="23" t="s">
        <v>212</v>
      </c>
      <c r="F37" s="156" t="s">
        <v>270</v>
      </c>
    </row>
    <row r="38" spans="1:8" x14ac:dyDescent="0.3">
      <c r="A38" s="46" t="s">
        <v>189</v>
      </c>
      <c r="B38" s="21">
        <v>123</v>
      </c>
      <c r="E38" s="16"/>
      <c r="F38" s="149">
        <v>0</v>
      </c>
    </row>
    <row r="39" spans="1:8" x14ac:dyDescent="0.3">
      <c r="A39" s="46" t="s">
        <v>195</v>
      </c>
      <c r="B39" s="25">
        <v>-1</v>
      </c>
      <c r="C39" s="26">
        <v>1</v>
      </c>
      <c r="D39" s="26">
        <v>1</v>
      </c>
      <c r="E39" s="27">
        <v>1</v>
      </c>
      <c r="F39" s="45"/>
    </row>
    <row r="40" spans="1:8" x14ac:dyDescent="0.3">
      <c r="A40" s="46" t="s">
        <v>176</v>
      </c>
      <c r="B40" s="25">
        <v>1</v>
      </c>
      <c r="C40" s="26">
        <v>1</v>
      </c>
      <c r="D40" s="26">
        <v>1</v>
      </c>
      <c r="E40" s="27">
        <v>1</v>
      </c>
      <c r="F40" s="45"/>
    </row>
    <row r="41" spans="1:8" x14ac:dyDescent="0.3">
      <c r="A41" s="46" t="s">
        <v>178</v>
      </c>
      <c r="B41" s="25">
        <v>1.8</v>
      </c>
      <c r="C41" s="26">
        <v>1.8</v>
      </c>
      <c r="D41" s="26">
        <v>1.8</v>
      </c>
      <c r="E41" s="27">
        <v>1.8</v>
      </c>
      <c r="F41" s="45"/>
    </row>
    <row r="42" spans="1:8" x14ac:dyDescent="0.3">
      <c r="A42" s="46" t="s">
        <v>179</v>
      </c>
      <c r="B42" s="25">
        <v>100</v>
      </c>
      <c r="C42" s="26">
        <v>100</v>
      </c>
      <c r="D42" s="26">
        <v>100</v>
      </c>
      <c r="E42" s="27">
        <v>100</v>
      </c>
      <c r="F42" s="45"/>
    </row>
    <row r="43" spans="1:8" x14ac:dyDescent="0.3">
      <c r="A43" s="46" t="s">
        <v>190</v>
      </c>
      <c r="B43" s="25">
        <v>180</v>
      </c>
      <c r="C43" s="26">
        <v>0</v>
      </c>
      <c r="D43" s="26">
        <v>180</v>
      </c>
      <c r="E43" s="27">
        <v>0</v>
      </c>
      <c r="F43" s="45"/>
    </row>
    <row r="44" spans="1:8" x14ac:dyDescent="0.3">
      <c r="A44" s="46" t="s">
        <v>180</v>
      </c>
      <c r="B44" s="25">
        <v>270.0659</v>
      </c>
      <c r="C44" s="26">
        <v>1.8512</v>
      </c>
      <c r="D44" s="26">
        <v>65.107100000000003</v>
      </c>
      <c r="E44" s="27">
        <v>339.7217</v>
      </c>
      <c r="F44" s="45"/>
    </row>
    <row r="45" spans="1:8" x14ac:dyDescent="0.3">
      <c r="A45" s="162" t="s">
        <v>250</v>
      </c>
      <c r="B45" s="28">
        <v>0</v>
      </c>
      <c r="C45" s="29">
        <v>0</v>
      </c>
      <c r="D45" s="29">
        <v>0</v>
      </c>
      <c r="E45" s="24">
        <v>0</v>
      </c>
      <c r="F45" s="45"/>
    </row>
    <row r="46" spans="1:8" x14ac:dyDescent="0.3">
      <c r="A46" s="160"/>
      <c r="B46" s="18">
        <v>0</v>
      </c>
      <c r="C46" s="19">
        <v>0</v>
      </c>
      <c r="D46" s="19">
        <v>0</v>
      </c>
      <c r="E46" s="20">
        <v>0</v>
      </c>
      <c r="F46" s="45"/>
    </row>
    <row r="47" spans="1:8" x14ac:dyDescent="0.3">
      <c r="A47" s="162" t="s">
        <v>251</v>
      </c>
      <c r="B47" s="28">
        <v>0</v>
      </c>
      <c r="C47" s="29">
        <v>0</v>
      </c>
      <c r="D47" s="29">
        <v>0</v>
      </c>
      <c r="E47" s="24">
        <v>0</v>
      </c>
      <c r="F47" s="45"/>
    </row>
    <row r="48" spans="1:8" x14ac:dyDescent="0.3">
      <c r="A48" s="160"/>
      <c r="B48" s="18">
        <v>0</v>
      </c>
      <c r="C48" s="19">
        <v>0</v>
      </c>
      <c r="D48" s="19">
        <v>0</v>
      </c>
      <c r="E48" s="20">
        <v>0</v>
      </c>
      <c r="F48" s="45"/>
    </row>
    <row r="49" spans="1:6" x14ac:dyDescent="0.3">
      <c r="A49" s="46" t="s">
        <v>253</v>
      </c>
      <c r="B49" s="25">
        <v>13</v>
      </c>
      <c r="C49" s="26">
        <v>13</v>
      </c>
      <c r="D49" s="26">
        <v>13</v>
      </c>
      <c r="E49" s="27">
        <v>13</v>
      </c>
      <c r="F49" s="45"/>
    </row>
    <row r="50" spans="1:6" x14ac:dyDescent="0.3">
      <c r="A50" s="46" t="s">
        <v>191</v>
      </c>
      <c r="B50" s="25">
        <v>0</v>
      </c>
      <c r="C50" s="26">
        <v>0</v>
      </c>
      <c r="D50" s="26">
        <v>0</v>
      </c>
      <c r="E50" s="27">
        <v>0</v>
      </c>
      <c r="F50" s="45"/>
    </row>
    <row r="51" spans="1:6" x14ac:dyDescent="0.3">
      <c r="A51" s="46" t="s">
        <v>192</v>
      </c>
      <c r="B51" s="25">
        <v>0</v>
      </c>
      <c r="C51" s="26">
        <v>0</v>
      </c>
      <c r="D51" s="26">
        <v>0</v>
      </c>
      <c r="E51" s="27">
        <v>0</v>
      </c>
      <c r="F51" s="45"/>
    </row>
    <row r="52" spans="1:6" x14ac:dyDescent="0.3">
      <c r="A52" s="46" t="s">
        <v>193</v>
      </c>
      <c r="B52" s="25">
        <v>360000</v>
      </c>
      <c r="C52" s="26">
        <v>360000</v>
      </c>
      <c r="D52" s="26">
        <v>360000</v>
      </c>
      <c r="E52" s="27">
        <v>360000</v>
      </c>
      <c r="F52" s="45"/>
    </row>
    <row r="53" spans="1:6" x14ac:dyDescent="0.3">
      <c r="A53" s="46" t="s">
        <v>194</v>
      </c>
      <c r="B53" s="25">
        <v>-360000</v>
      </c>
      <c r="C53" s="26">
        <v>-360000</v>
      </c>
      <c r="D53" s="26">
        <v>-360000</v>
      </c>
      <c r="E53" s="27">
        <v>-360000</v>
      </c>
      <c r="F53" s="45"/>
    </row>
    <row r="54" spans="1:6" x14ac:dyDescent="0.3">
      <c r="A54" s="46" t="s">
        <v>248</v>
      </c>
      <c r="B54" s="25">
        <v>0</v>
      </c>
      <c r="C54" s="26">
        <v>0</v>
      </c>
      <c r="D54" s="26">
        <v>0</v>
      </c>
      <c r="E54" s="27">
        <v>0</v>
      </c>
      <c r="F54" s="45"/>
    </row>
    <row r="55" spans="1:6" x14ac:dyDescent="0.3">
      <c r="A55" s="46" t="s">
        <v>247</v>
      </c>
      <c r="B55" s="25">
        <v>0</v>
      </c>
      <c r="C55" s="26">
        <v>0</v>
      </c>
      <c r="D55" s="26">
        <v>0</v>
      </c>
      <c r="E55" s="27">
        <v>0</v>
      </c>
      <c r="F55" s="45"/>
    </row>
    <row r="56" spans="1:6" ht="14.5" thickBot="1" x14ac:dyDescent="0.35">
      <c r="A56" s="94" t="s">
        <v>252</v>
      </c>
      <c r="B56" s="81">
        <f>-1136073600+4</f>
        <v>-1136073596</v>
      </c>
      <c r="C56" s="49"/>
      <c r="D56" s="49"/>
      <c r="E56" s="145"/>
      <c r="F56" s="50"/>
    </row>
  </sheetData>
  <mergeCells count="6">
    <mergeCell ref="A47:A48"/>
    <mergeCell ref="A2:A4"/>
    <mergeCell ref="A11:A13"/>
    <mergeCell ref="A25:A26"/>
    <mergeCell ref="A27:A28"/>
    <mergeCell ref="A45:A46"/>
  </mergeCells>
  <phoneticPr fontId="1" type="noConversion"/>
  <conditionalFormatting sqref="C16:G16">
    <cfRule type="containsBlanks" dxfId="4" priority="2">
      <formula>LEN(TRIM(C16))=0</formula>
    </cfRule>
  </conditionalFormatting>
  <conditionalFormatting sqref="F17:G36 F37:F38">
    <cfRule type="containsBlanks" dxfId="3" priority="3">
      <formula>LEN(TRIM(F17))=0</formula>
    </cfRule>
  </conditionalFormatting>
  <conditionalFormatting sqref="H1:H2 B1:G9">
    <cfRule type="containsBlanks" dxfId="2" priority="21">
      <formula>LEN(TRIM(B1))=0</formula>
    </cfRule>
  </conditionalFormatting>
  <conditionalFormatting sqref="H10">
    <cfRule type="containsBlanks" dxfId="1" priority="1">
      <formula>LEN(TRIM(H10))=0</formula>
    </cfRule>
  </conditionalFormatting>
  <conditionalFormatting sqref="H17 A17:E56">
    <cfRule type="containsBlanks" dxfId="0" priority="22">
      <formula>LEN(TRIM(A17))=0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19F22-6512-447B-AA16-496F844032F6}">
  <dimension ref="A1:D19"/>
  <sheetViews>
    <sheetView zoomScale="110" zoomScaleNormal="110" workbookViewId="0">
      <selection activeCell="D1" sqref="D1"/>
    </sheetView>
  </sheetViews>
  <sheetFormatPr defaultRowHeight="14" x14ac:dyDescent="0.3"/>
  <cols>
    <col min="1" max="1" width="22.33203125" customWidth="1"/>
    <col min="2" max="2" width="9.08203125" bestFit="1" customWidth="1"/>
  </cols>
  <sheetData>
    <row r="1" spans="1:4" ht="14.5" thickBot="1" x14ac:dyDescent="0.35">
      <c r="A1" s="95" t="s">
        <v>242</v>
      </c>
      <c r="B1" s="135">
        <v>2</v>
      </c>
      <c r="C1" s="135">
        <v>2</v>
      </c>
      <c r="D1" s="137">
        <v>2</v>
      </c>
    </row>
    <row r="2" spans="1:4" x14ac:dyDescent="0.3">
      <c r="A2" s="41" t="s">
        <v>166</v>
      </c>
      <c r="B2" s="111"/>
      <c r="C2" s="111"/>
      <c r="D2" s="112"/>
    </row>
    <row r="3" spans="1:4" x14ac:dyDescent="0.3">
      <c r="A3" s="46" t="s">
        <v>239</v>
      </c>
      <c r="B3" s="15">
        <v>1</v>
      </c>
      <c r="C3" s="15"/>
      <c r="D3" s="113"/>
    </row>
    <row r="4" spans="1:4" x14ac:dyDescent="0.3">
      <c r="A4" s="46" t="s">
        <v>240</v>
      </c>
      <c r="B4" s="15">
        <v>10</v>
      </c>
      <c r="C4" s="15"/>
      <c r="D4" s="113"/>
    </row>
    <row r="5" spans="1:4" x14ac:dyDescent="0.3">
      <c r="A5" s="46" t="s">
        <v>241</v>
      </c>
      <c r="B5" s="15">
        <v>0.1</v>
      </c>
      <c r="C5" s="15"/>
      <c r="D5" s="113"/>
    </row>
    <row r="6" spans="1:4" ht="14.5" thickBot="1" x14ac:dyDescent="0.35">
      <c r="A6" s="47" t="s">
        <v>168</v>
      </c>
      <c r="B6" s="48">
        <v>15</v>
      </c>
      <c r="C6" s="48">
        <v>60</v>
      </c>
      <c r="D6" s="136"/>
    </row>
    <row r="7" spans="1:4" x14ac:dyDescent="0.3">
      <c r="A7" s="41" t="s">
        <v>196</v>
      </c>
      <c r="B7" s="111"/>
      <c r="C7" s="111"/>
      <c r="D7" s="112"/>
    </row>
    <row r="8" spans="1:4" x14ac:dyDescent="0.3">
      <c r="A8" s="166" t="s">
        <v>4</v>
      </c>
      <c r="B8" s="15">
        <f>-0.6</f>
        <v>-0.6</v>
      </c>
      <c r="C8" s="15">
        <f>-0.6</f>
        <v>-0.6</v>
      </c>
      <c r="D8" s="113"/>
    </row>
    <row r="9" spans="1:4" x14ac:dyDescent="0.3">
      <c r="A9" s="166"/>
      <c r="B9" s="15">
        <v>0</v>
      </c>
      <c r="C9" s="15">
        <v>0</v>
      </c>
      <c r="D9" s="113"/>
    </row>
    <row r="10" spans="1:4" x14ac:dyDescent="0.3">
      <c r="A10" s="166"/>
      <c r="B10" s="15">
        <v>0.41889999999999999</v>
      </c>
      <c r="C10" s="15">
        <v>0.41889999999999999</v>
      </c>
      <c r="D10" s="113"/>
    </row>
    <row r="11" spans="1:4" x14ac:dyDescent="0.3">
      <c r="A11" s="166" t="s">
        <v>170</v>
      </c>
      <c r="B11" s="15">
        <v>1</v>
      </c>
      <c r="C11" s="15">
        <v>-1</v>
      </c>
      <c r="D11" s="113"/>
    </row>
    <row r="12" spans="1:4" x14ac:dyDescent="0.3">
      <c r="A12" s="166"/>
      <c r="B12" s="15">
        <v>0</v>
      </c>
      <c r="C12" s="15">
        <v>0</v>
      </c>
      <c r="D12" s="113"/>
    </row>
    <row r="13" spans="1:4" x14ac:dyDescent="0.3">
      <c r="A13" s="166"/>
      <c r="B13" s="15">
        <v>0</v>
      </c>
      <c r="C13" s="15">
        <v>0</v>
      </c>
      <c r="D13" s="113"/>
    </row>
    <row r="14" spans="1:4" x14ac:dyDescent="0.3">
      <c r="A14" s="46" t="s">
        <v>237</v>
      </c>
      <c r="B14" s="15">
        <v>1.4999999999999999E-2</v>
      </c>
      <c r="C14" s="15">
        <v>0</v>
      </c>
      <c r="D14" s="113"/>
    </row>
    <row r="15" spans="1:4" ht="14.5" thickBot="1" x14ac:dyDescent="0.35">
      <c r="A15" s="47" t="s">
        <v>238</v>
      </c>
      <c r="B15" s="48">
        <v>300</v>
      </c>
      <c r="C15" s="48">
        <v>0</v>
      </c>
      <c r="D15" s="136"/>
    </row>
    <row r="16" spans="1:4" ht="14.5" thickBot="1" x14ac:dyDescent="0.35">
      <c r="A16" s="95" t="s">
        <v>227</v>
      </c>
      <c r="B16" s="135">
        <v>10100001</v>
      </c>
      <c r="C16" s="135"/>
      <c r="D16" s="137"/>
    </row>
    <row r="17" spans="1:4" x14ac:dyDescent="0.3">
      <c r="A17" s="41" t="s">
        <v>167</v>
      </c>
      <c r="B17" s="111"/>
      <c r="C17" s="111"/>
      <c r="D17" s="112"/>
    </row>
    <row r="18" spans="1:4" ht="14.5" thickBot="1" x14ac:dyDescent="0.35">
      <c r="A18" s="47"/>
      <c r="B18" s="48"/>
      <c r="C18" s="48"/>
      <c r="D18" s="136"/>
    </row>
    <row r="19" spans="1:4" x14ac:dyDescent="0.3">
      <c r="A19" s="82"/>
    </row>
  </sheetData>
  <mergeCells count="2">
    <mergeCell ref="A8:A10"/>
    <mergeCell ref="A11:A1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星体-展开&amp;收拢</vt:lpstr>
      <vt:lpstr>附件a1p1-展开&amp;收拢</vt:lpstr>
      <vt:lpstr>附件a2p2-展开&amp;收拢</vt:lpstr>
      <vt:lpstr>附件a3p3</vt:lpstr>
      <vt:lpstr>附件a4p4</vt:lpstr>
      <vt:lpstr>整星质量参数</vt:lpstr>
      <vt:lpstr>单机参数--敏感器</vt:lpstr>
      <vt:lpstr>单机参数--执行器+SADAQV</vt:lpstr>
      <vt:lpstr>单机参数--其他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2026-02-26T09:57:29Z</dcterms:modified>
</cp:coreProperties>
</file>